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ATA" sheetId="2" r:id="rId5"/>
    <sheet state="visible" name="PRODUCT LABOR &amp; SUBCONTRACT" sheetId="3" r:id="rId6"/>
    <sheet state="visible" name="PRODUCT PHASES 1-5" sheetId="4" r:id="rId7"/>
    <sheet state="visible" name="EXTERIOR &amp; ADD-ONS" sheetId="5" r:id="rId8"/>
    <sheet state="visible" name="PROJECT ESTIMATE" sheetId="6" r:id="rId9"/>
    <sheet state="hidden" name="PROJECT ESTIMATE Wood Deck" sheetId="7" r:id="rId10"/>
    <sheet state="hidden" name="CONTAINERS ESTIMATE" sheetId="8" r:id="rId11"/>
    <sheet state="visible" name="WBS" sheetId="9" r:id="rId12"/>
    <sheet state="visible" name="PRESENTATION" sheetId="10" r:id="rId13"/>
    <sheet state="visible" name="BUDGET" sheetId="11" r:id="rId14"/>
    <sheet state="hidden" name="ESTIMATE OLD" sheetId="12" r:id="rId15"/>
  </sheets>
  <definedNames>
    <definedName hidden="1" localSheetId="3" name="_xlnm._FilterDatabase">'PRODUCT PHASES 1-5'!$A$1:$J$90</definedName>
  </definedNames>
  <calcPr/>
  <extLst>
    <ext uri="GoogleSheetsCustomDataVersion2">
      <go:sheetsCustomData xmlns:go="http://customooxmlschemas.google.com/" r:id="rId16" roundtripDataChecksum="5PvBqCCFVGCnvoOaBoSNfEWFYiUW0R4FAqMom/aDLN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7">
      <text>
        <t xml:space="preserve">======
ID#AAABytoAgS0
    (2026-01-19 18:10:50)
If applies, enter the amount of units</t>
      </text>
    </comment>
    <comment authorId="0" ref="C1">
      <text>
        <t xml:space="preserve">======
ID#AAABytoAgSw
    (2026-01-19 18:10:50)
Add dropdown of categories
	-Jorge Rosa</t>
      </text>
    </comment>
    <comment authorId="0" ref="G71">
      <text>
        <t xml:space="preserve">======
ID#AAABytoAgSs
    (2026-01-19 18:10:50)
If applies, enter the amount of units</t>
      </text>
    </comment>
    <comment authorId="0" ref="G65">
      <text>
        <t xml:space="preserve">======
ID#AAABytoAgSg
    (2026-01-19 18:10:50)
If applies, enter the amount of units</t>
      </text>
    </comment>
    <comment authorId="0" ref="G48">
      <text>
        <t xml:space="preserve">======
ID#AAABytoAgSc
    (2026-01-19 18:10:50)
If applies, enter the amount of units</t>
      </text>
    </comment>
    <comment authorId="0" ref="G57">
      <text>
        <t xml:space="preserve">======
ID#AAABytoAgSo
    (2026-01-19 18:10:50)
If applies, enter the amount of units</t>
      </text>
    </comment>
    <comment authorId="0" ref="G66">
      <text>
        <t xml:space="preserve">======
ID#AAABytoAgSk
    (2026-01-19 18:10:50)
If applies, enter the amount of units</t>
      </text>
    </comment>
    <comment authorId="0" ref="G88">
      <text>
        <t xml:space="preserve">======
ID#AAABytoAgSY
    (2026-01-19 18:10:50)
If applies, enter the amount of units</t>
      </text>
    </comment>
    <comment authorId="0" ref="G58">
      <text>
        <t xml:space="preserve">======
ID#AAABytoAgSU
    (2026-01-19 18:10:50)
If applies, enter the amount of units</t>
      </text>
    </comment>
    <comment authorId="0" ref="G68">
      <text>
        <t xml:space="preserve">======
ID#AAABytoAgSA
    (2026-01-19 18:10:50)
If applies, enter the amount of units</t>
      </text>
    </comment>
    <comment authorId="0" ref="G84">
      <text>
        <t xml:space="preserve">======
ID#AAABytoAgSI
    (2026-01-19 18:10:50)
If applies, enter the amount of units</t>
      </text>
    </comment>
    <comment authorId="0" ref="G70">
      <text>
        <t xml:space="preserve">======
ID#AAABytoAgSE
    (2026-01-19 18:10:50)
If applies, enter the amount of units</t>
      </text>
    </comment>
    <comment authorId="0" ref="G82">
      <text>
        <t xml:space="preserve">======
ID#AAABytoAgSQ
    (2026-01-19 18:10:50)
If applies, enter the amount of units</t>
      </text>
    </comment>
    <comment authorId="0" ref="G37">
      <text>
        <t xml:space="preserve">======
ID#AAABytoAgSM
    (2026-01-19 18:10:50)
If applies, enter 1</t>
      </text>
    </comment>
    <comment authorId="0" ref="G86">
      <text>
        <t xml:space="preserve">======
ID#AAABytoAgR8
    (2026-01-19 18:10:50)
If applies, enter 1 and the total cost of all bathroom furniture that applies</t>
      </text>
    </comment>
    <comment authorId="0" ref="E1">
      <text>
        <t xml:space="preserve">======
ID#AAABytoAgR4
    (2026-01-19 18:10:50)
Add dropdown of stakeholders
	-Jorge Rosa</t>
      </text>
    </comment>
    <comment authorId="0" ref="G83">
      <text>
        <t xml:space="preserve">======
ID#AAABytoAgR0
    (2026-01-19 18:10:50)
If applies, enter the amount of units</t>
      </text>
    </comment>
    <comment authorId="0" ref="G69">
      <text>
        <t xml:space="preserve">======
ID#AAABytoAgRw
    (2026-01-19 18:10:50)
If applies, enter the amount of units</t>
      </text>
    </comment>
    <comment authorId="0" ref="G59">
      <text>
        <t xml:space="preserve">======
ID#AAABytoAgRs
    (2026-01-19 18:10:50)
If applies, enter the amount of units</t>
      </text>
    </comment>
  </commentList>
  <extLst>
    <ext uri="GoogleSheetsCustomDataVersion2">
      <go:sheetsCustomData xmlns:go="http://customooxmlschemas.google.com/" r:id="rId1" roundtripDataSignature="AMtx7mhIrySYe9OWDGhxCRYNbXu+0BkjIQ=="/>
    </ext>
  </extLst>
</comments>
</file>

<file path=xl/sharedStrings.xml><?xml version="1.0" encoding="utf-8"?>
<sst xmlns="http://schemas.openxmlformats.org/spreadsheetml/2006/main" count="1528" uniqueCount="541">
  <si>
    <t>INSTRUCTIONS:</t>
  </si>
  <si>
    <t xml:space="preserve">STEP 1 </t>
  </si>
  <si>
    <t>DATA</t>
  </si>
  <si>
    <t>Enter all DESIGN &amp; DATA COLLECTION amounts invoiced that applies to customer. Use as reference the Proposals &amp; Invoices.</t>
  </si>
  <si>
    <t>If category does not applies to client, enter $0.</t>
  </si>
  <si>
    <t>PERMITS &amp; SERVICE FEES:</t>
  </si>
  <si>
    <t>Permit Services: Enter Amount. Use as reference the Design Proposal.</t>
  </si>
  <si>
    <t>Permit 1: Select EXC CATEGORICA ($75) or REA/DEA ($4,500)</t>
  </si>
  <si>
    <t>Permit 3: Select $300</t>
  </si>
  <si>
    <t>Liability Insurance: Select $2,000</t>
  </si>
  <si>
    <t>Construction Inspection Fee: Enter Amount. Use as reference the Design Proposal.</t>
  </si>
  <si>
    <t>PRODUCT OVERVIEW:</t>
  </si>
  <si>
    <t>Qty of Product: Select Containers Qty that applies to the project.</t>
  </si>
  <si>
    <t>Margin %: Select the margin discussed with Project Owner.</t>
  </si>
  <si>
    <t>Product square ft: Enter product square footage. Use as reference the Design Plans.</t>
  </si>
  <si>
    <t xml:space="preserve">DESCRIPTION: Enter the product model </t>
  </si>
  <si>
    <t>STEP 2</t>
  </si>
  <si>
    <t>PRODUCT LABOR &amp; SUBCONTRACT</t>
  </si>
  <si>
    <t>VALIDATE</t>
  </si>
  <si>
    <t>SUBCONTRACTORS: Enter all QUOTE amounts accordingly</t>
  </si>
  <si>
    <t>LABOR: Enter &amp; Review all planned hours</t>
  </si>
  <si>
    <t>STEP 3</t>
  </si>
  <si>
    <t>PRODUCT PHASE 1-5</t>
  </si>
  <si>
    <t>Check all items that applies to the project. The unchecked items, please Enter 0 in quantities.</t>
  </si>
  <si>
    <t>DOORS &amp; FINISHES</t>
  </si>
  <si>
    <t>Items with Notes: Verify and enter the qty (according to plans) &amp; ther cost of the items that applies to the project.</t>
  </si>
  <si>
    <t>STEP 4</t>
  </si>
  <si>
    <t xml:space="preserve">EXTERIOR &amp; ADD-ONS </t>
  </si>
  <si>
    <t>Enter the category, description, resource, and quote amount accordingly</t>
  </si>
  <si>
    <t>Validate with project owner all the items that applies to the project.</t>
  </si>
  <si>
    <t>ESTIMATE</t>
  </si>
  <si>
    <t>Enter Client Name</t>
  </si>
  <si>
    <t>Enter Version</t>
  </si>
  <si>
    <t>Enter Model</t>
  </si>
  <si>
    <t>Update Deliverables</t>
  </si>
  <si>
    <t>Select Classification</t>
  </si>
  <si>
    <t>Select Project Description</t>
  </si>
  <si>
    <t xml:space="preserve">DESIGN &amp; DATA COLLECTION: Select the dropdown that applies of each category </t>
  </si>
  <si>
    <t xml:space="preserve">PERMITS &amp; SERVICE FEES: Select the dropdown that applies of each category </t>
  </si>
  <si>
    <t xml:space="preserve">EXTERIOR &amp; ADD-ONS : Select the dropdown that applies of each category </t>
  </si>
  <si>
    <t>PRINTING</t>
  </si>
  <si>
    <t>Print: Workbook</t>
  </si>
  <si>
    <t>Selection: Estimate and WBS</t>
  </si>
  <si>
    <t>Paper Size: A3</t>
  </si>
  <si>
    <t>Page Orientation: Portrait</t>
  </si>
  <si>
    <t>Scale: Fit to width</t>
  </si>
  <si>
    <t>Margins: Narrow</t>
  </si>
  <si>
    <t>DESIGN &amp; DATA COLLECTION</t>
  </si>
  <si>
    <t xml:space="preserve">     Plans and Construction Documents</t>
  </si>
  <si>
    <t xml:space="preserve">     Soil Study</t>
  </si>
  <si>
    <t xml:space="preserve">     Survey and Topography  </t>
  </si>
  <si>
    <t xml:space="preserve">     Bio-Garden Design</t>
  </si>
  <si>
    <t xml:space="preserve">     Solar System Design</t>
  </si>
  <si>
    <t xml:space="preserve">   PERMITS &amp; SERVICE FEES</t>
  </si>
  <si>
    <t xml:space="preserve">     Municipal Patent </t>
  </si>
  <si>
    <t>Permits</t>
  </si>
  <si>
    <t xml:space="preserve">     Permit Services (First 50%)</t>
  </si>
  <si>
    <t>ENTER  TOTAL</t>
  </si>
  <si>
    <t xml:space="preserve">     Permit Services (Last 50%)</t>
  </si>
  <si>
    <t>QUOTE AMOUNT</t>
  </si>
  <si>
    <t xml:space="preserve">     State Insurance Fund</t>
  </si>
  <si>
    <t xml:space="preserve">     Permit 1 (Ex. Categórica or REA/DEA)</t>
  </si>
  <si>
    <t xml:space="preserve">     Permit 2 (Construction)  </t>
  </si>
  <si>
    <t xml:space="preserve">     Permit 3 (Use)  </t>
  </si>
  <si>
    <t xml:space="preserve">     Liability Insurance</t>
  </si>
  <si>
    <t xml:space="preserve">     Construction Inspection Fee</t>
  </si>
  <si>
    <t xml:space="preserve">     Qty of Product</t>
  </si>
  <si>
    <t xml:space="preserve">     Margin %</t>
  </si>
  <si>
    <t xml:space="preserve">     Contingency %</t>
  </si>
  <si>
    <t xml:space="preserve">     Foundation</t>
  </si>
  <si>
    <t xml:space="preserve">     Steel Structure</t>
  </si>
  <si>
    <t xml:space="preserve">     Subcontracted</t>
  </si>
  <si>
    <t xml:space="preserve">     Labor</t>
  </si>
  <si>
    <t xml:space="preserve">     Materials</t>
  </si>
  <si>
    <t xml:space="preserve">     Product Cost</t>
  </si>
  <si>
    <t xml:space="preserve">     Product Price</t>
  </si>
  <si>
    <t xml:space="preserve">     Product square ft</t>
  </si>
  <si>
    <t xml:space="preserve">     Cost per square ft</t>
  </si>
  <si>
    <t>CLASSIFICATION</t>
  </si>
  <si>
    <t xml:space="preserve">     Paint by Numbers</t>
  </si>
  <si>
    <t>[LOW RISK] KONTi and it's stakeholders are sure of what to do and how it is to be done. We feel confident on delivering the project early or under budget.</t>
  </si>
  <si>
    <t xml:space="preserve">     Quest</t>
  </si>
  <si>
    <t xml:space="preserve">[MEDIUM RISK] KONTi and it's stakeholders are sure of what should be done, but unsure how we will achieve it. This project will need a strick control of time and cost. May have cost and time overruns. </t>
  </si>
  <si>
    <t xml:space="preserve">     Making a Movie</t>
  </si>
  <si>
    <t>[MEDIUM RISK] KONTi and it's stakeholders are certain about how the project should proceed but not what needs to be done. Further definition may have cost and time overruns.</t>
  </si>
  <si>
    <t xml:space="preserve">     Lost in the Fog</t>
  </si>
  <si>
    <t>[HIGH RISK] KONTi and it's stakeholders do not know what you want or how to achieve it. This type of project is new for us, therefore has not been attempted before. High probability of cost and time changes.</t>
  </si>
  <si>
    <t>DESCRIPTION</t>
  </si>
  <si>
    <t xml:space="preserve">     Containers</t>
  </si>
  <si>
    <r>
      <rPr>
        <rFont val="Montserrat"/>
        <color theme="1"/>
        <sz val="10.0"/>
      </rPr>
      <t xml:space="preserve">The KONTi </t>
    </r>
    <r>
      <rPr>
        <rFont val="Montserrat"/>
        <b/>
        <color rgb="FF980000"/>
        <sz val="10.0"/>
      </rPr>
      <t>[ENTER MODEL]</t>
    </r>
    <r>
      <rPr>
        <rFont val="Montserrat"/>
        <color theme="1"/>
        <sz val="10.0"/>
      </rPr>
      <t xml:space="preserve"> was designed for quick and simple container build and installation. Design specs, construction requirements, and build costs are standard. THIS IS A COST PLUS ESTIMATE AND IS SUBJECT TO CHANGE. </t>
    </r>
  </si>
  <si>
    <t>ENTER MODEL</t>
  </si>
  <si>
    <t xml:space="preserve">     Modulars</t>
  </si>
  <si>
    <r>
      <rPr>
        <rFont val="Montserrat"/>
        <color theme="1"/>
        <sz val="10.0"/>
      </rPr>
      <t xml:space="preserve">The KONTi </t>
    </r>
    <r>
      <rPr>
        <rFont val="Montserrat"/>
        <b/>
        <color rgb="FF980000"/>
        <sz val="10.0"/>
      </rPr>
      <t xml:space="preserve">[ENTER MODEL] </t>
    </r>
    <r>
      <rPr>
        <rFont val="Montserrat"/>
        <color theme="1"/>
        <sz val="10.0"/>
      </rPr>
      <t xml:space="preserve">model was designed for a modular steel beam and post construction to be assembled on site. Design specs, construction requirements, and build costs are standard. THIS IS A COST PLUS ESTIMATE AND IS SUBJECT TO CHANGE. </t>
    </r>
  </si>
  <si>
    <t>STAKEHOLDERS DATA</t>
  </si>
  <si>
    <t>Stakeholders</t>
  </si>
  <si>
    <t>Bill Rate</t>
  </si>
  <si>
    <t>Description</t>
  </si>
  <si>
    <t>Carla Gautier</t>
  </si>
  <si>
    <t>Arquitect</t>
  </si>
  <si>
    <t>Jorge Rosa</t>
  </si>
  <si>
    <t>Project Manager</t>
  </si>
  <si>
    <t>Michelle Telon</t>
  </si>
  <si>
    <t>Lead Designer</t>
  </si>
  <si>
    <t>Andrea Camacho</t>
  </si>
  <si>
    <t>Construction Manager</t>
  </si>
  <si>
    <t>North Steel</t>
  </si>
  <si>
    <t>Subcontracted</t>
  </si>
  <si>
    <t xml:space="preserve">Structural </t>
  </si>
  <si>
    <t>JF Broker Unlimited Corp</t>
  </si>
  <si>
    <t>Container Purchase</t>
  </si>
  <si>
    <t>MF Solution Corp</t>
  </si>
  <si>
    <t>Container Transport</t>
  </si>
  <si>
    <t>Jose Super Exterminating</t>
  </si>
  <si>
    <t>Site and Container Fumigation</t>
  </si>
  <si>
    <t>Solid Doors</t>
  </si>
  <si>
    <t>Exterior Windows &amp; Doors</t>
  </si>
  <si>
    <t>Geraldo Velez</t>
  </si>
  <si>
    <t>Electrical</t>
  </si>
  <si>
    <t>AR Construction</t>
  </si>
  <si>
    <t>Kitchen</t>
  </si>
  <si>
    <t>D&amp;G Air Conditioning</t>
  </si>
  <si>
    <t>AC Installation</t>
  </si>
  <si>
    <t>Jose Perez Aponte</t>
  </si>
  <si>
    <t>Foundation</t>
  </si>
  <si>
    <t>Transcon Lightning System Inc.</t>
  </si>
  <si>
    <t>Solar Energy</t>
  </si>
  <si>
    <t>Henry Mercedes</t>
  </si>
  <si>
    <t>Plumbing, Interiors, Foundation</t>
  </si>
  <si>
    <t>Edgardo Javier</t>
  </si>
  <si>
    <t>Deck and Pergola</t>
  </si>
  <si>
    <t>Soldadura Rizoma</t>
  </si>
  <si>
    <t>Welding</t>
  </si>
  <si>
    <t>Note: Data Entry All items that are in red. If a red item does not apply, ignore.</t>
  </si>
  <si>
    <t>SUBCONTRACTORS:</t>
  </si>
  <si>
    <t>Phases</t>
  </si>
  <si>
    <t>Category</t>
  </si>
  <si>
    <t>Resource</t>
  </si>
  <si>
    <t>ENTER QUOTE</t>
  </si>
  <si>
    <t>Phase 1</t>
  </si>
  <si>
    <t>Purchase Container</t>
  </si>
  <si>
    <t>Interior</t>
  </si>
  <si>
    <t>Transport Container to Shop</t>
  </si>
  <si>
    <t>Structural Prep</t>
  </si>
  <si>
    <t>W&amp;Ds framing cuts and installation</t>
  </si>
  <si>
    <t>Container Reinforcement</t>
  </si>
  <si>
    <t>Red Oxide Primer on container</t>
  </si>
  <si>
    <t>Container structural fumigation</t>
  </si>
  <si>
    <t>W&amp;D</t>
  </si>
  <si>
    <t>Build</t>
  </si>
  <si>
    <t>Phase 2</t>
  </si>
  <si>
    <t>Installation</t>
  </si>
  <si>
    <t>Container Infrastructure</t>
  </si>
  <si>
    <t>Plumbing</t>
  </si>
  <si>
    <t>Phase 3</t>
  </si>
  <si>
    <t>Interior Build</t>
  </si>
  <si>
    <t xml:space="preserve">Plumbing Finishes </t>
  </si>
  <si>
    <t>AC units Installation</t>
  </si>
  <si>
    <t>Bathroom</t>
  </si>
  <si>
    <t>Bathroom Build</t>
  </si>
  <si>
    <t>Phase 4</t>
  </si>
  <si>
    <t>Container Finishes</t>
  </si>
  <si>
    <t>Electrical finishes</t>
  </si>
  <si>
    <t>Exterior Painting</t>
  </si>
  <si>
    <t>Container Installation</t>
  </si>
  <si>
    <t>Transport Container to Site</t>
  </si>
  <si>
    <t>Phase 5</t>
  </si>
  <si>
    <t>Detailing</t>
  </si>
  <si>
    <t>Door Installation</t>
  </si>
  <si>
    <t>Post Construction Cleanup</t>
  </si>
  <si>
    <t>Last Clean Up</t>
  </si>
  <si>
    <t>Enter Hrs &amp; Review</t>
  </si>
  <si>
    <t>LABOR:</t>
  </si>
  <si>
    <t>Planned Hrs</t>
  </si>
  <si>
    <t>Total Cost</t>
  </si>
  <si>
    <t>Project Management</t>
  </si>
  <si>
    <t>Coordination</t>
  </si>
  <si>
    <t>Punch List</t>
  </si>
  <si>
    <t>Structural Paint &amp; Sealing</t>
  </si>
  <si>
    <t>Wall Infrastructure</t>
  </si>
  <si>
    <t>Wall Panels Installation</t>
  </si>
  <si>
    <t>Mudding &amp; Sanding</t>
  </si>
  <si>
    <t>Flooring</t>
  </si>
  <si>
    <t>Priming</t>
  </si>
  <si>
    <t>Interior Painting &amp; Final Details</t>
  </si>
  <si>
    <t>Exterior Painting &amp; Sealing</t>
  </si>
  <si>
    <t>Transportation caused fixes</t>
  </si>
  <si>
    <t xml:space="preserve">TOTAL    </t>
  </si>
  <si>
    <t>Stakeholder</t>
  </si>
  <si>
    <t>Class</t>
  </si>
  <si>
    <t>Qty</t>
  </si>
  <si>
    <t>Cost</t>
  </si>
  <si>
    <t>Product Cost</t>
  </si>
  <si>
    <t xml:space="preserve">Coordination </t>
  </si>
  <si>
    <t>Konti Design</t>
  </si>
  <si>
    <t>Labor</t>
  </si>
  <si>
    <t>Acrylic Clear Primer &amp; Sealer on frames, and Red Oxide Primer on container</t>
  </si>
  <si>
    <t>Purchase of AS-210 1 Gal. 100% Acrylic Clear Primer and Sealer</t>
  </si>
  <si>
    <t>Materials</t>
  </si>
  <si>
    <t>Purchase of 1 Gal. Oil Red Oxide Metal Primer</t>
  </si>
  <si>
    <t>Miscellenous Materials</t>
  </si>
  <si>
    <t xml:space="preserve">First 50% deposit to start manufacturing </t>
  </si>
  <si>
    <t>Labor for Wall Infrastructure</t>
  </si>
  <si>
    <t>Studs 20GA 3 - 5/8 x 10 (Wall Divisions)</t>
  </si>
  <si>
    <t>Studs 20GA 2 1/2 x 10 (Walls)</t>
  </si>
  <si>
    <t>Studs 20GA 2 1/2 x 8 (Ceiling)</t>
  </si>
  <si>
    <t>Tracks 20GA 2 1/2 x 10</t>
  </si>
  <si>
    <t>Tracks 20GA 3 - 5/8 x 10</t>
  </si>
  <si>
    <t xml:space="preserve">Tracks &amp; Studs Transportation </t>
  </si>
  <si>
    <t xml:space="preserve"> 3/4 in. x 4 ft. x 8 ft. Pine Pressure-Treated Plywood (Blockings)</t>
  </si>
  <si>
    <t xml:space="preserve"> 2 in x 4 in x 8 ft. Pine Pressure-Treated Wood (Interior Doors Post)</t>
  </si>
  <si>
    <t>Insulation: Solar Guard RFSK/Foil 48"x125' (500sf)</t>
  </si>
  <si>
    <t>Shower [TBD by client]</t>
  </si>
  <si>
    <t>Plumbing Infrastructure</t>
  </si>
  <si>
    <t>Elvis Colon</t>
  </si>
  <si>
    <t>Electrical Infrastructure</t>
  </si>
  <si>
    <t>Starts Kitchen Build</t>
  </si>
  <si>
    <t>Sink [TBD by client]</t>
  </si>
  <si>
    <t>Stove [TBD by client]</t>
  </si>
  <si>
    <t>Labor for Interior Build</t>
  </si>
  <si>
    <t>Plumbing Finishes in Kitchen &amp; Bathroom</t>
  </si>
  <si>
    <t>Drywall 4x10x5/8 (Walls)</t>
  </si>
  <si>
    <t>Drywall 4x8x5/8 (Ceiling)</t>
  </si>
  <si>
    <t>Joint Compound Ultralight 4.5 GAL.</t>
  </si>
  <si>
    <t>Plycem 4 ft x 8 ft x 1/2 in</t>
  </si>
  <si>
    <t>5 GAL White Acrylic Interior Drywall Plus Primer and Sealer</t>
  </si>
  <si>
    <t>Corner Bead Plast. 10' G/B</t>
  </si>
  <si>
    <t>Wall Panels Transport</t>
  </si>
  <si>
    <t>Baseboards: Panel PVC 1/4 Premium</t>
  </si>
  <si>
    <t>Luxury Vinyl Plank Flooring (20.06 sq ft / case)</t>
  </si>
  <si>
    <t xml:space="preserve">AC Units </t>
  </si>
  <si>
    <t>Waldemar Rosario</t>
  </si>
  <si>
    <t>50 lb. Ultrafex 1 Tile Mortar with Polymer</t>
  </si>
  <si>
    <t>LASH Tile Leveling System Project Pack of 100</t>
  </si>
  <si>
    <t xml:space="preserve">10 lb Keracolor White unsanded grout </t>
  </si>
  <si>
    <t>Tiles (TBD - varied by client)</t>
  </si>
  <si>
    <t xml:space="preserve">Saddle: White Double Hollywood 5 in. x 36 in. </t>
  </si>
  <si>
    <t>Stainless Steel Shower Floor Drain with Tile Insert</t>
  </si>
  <si>
    <t>1 Gal. Quarry Tile Cleaner</t>
  </si>
  <si>
    <t>Vent (If applicable)</t>
  </si>
  <si>
    <t>Bathtub (If applicable)</t>
  </si>
  <si>
    <t>Niches (If applicable)</t>
  </si>
  <si>
    <t>Installation of cabinets and top (Including sink and stove)</t>
  </si>
  <si>
    <t>Electrical finishes Installation</t>
  </si>
  <si>
    <t>Labor for interior finishes</t>
  </si>
  <si>
    <t>Recessed Lights (5-Light Plug-In LED White Puck Light Kit)</t>
  </si>
  <si>
    <t>Ceiling Fans (If applicable)</t>
  </si>
  <si>
    <t>Pendant Lamps (If applicable)</t>
  </si>
  <si>
    <t>Wall Plates (Switches)</t>
  </si>
  <si>
    <t>Wall Plates (GFCI/USB Outlets)</t>
  </si>
  <si>
    <t>Wall Plates (Regular Outlets)</t>
  </si>
  <si>
    <t>2" Aluminum Saddle for Entry (If applicable)</t>
  </si>
  <si>
    <t xml:space="preserve">Miscellenous Materials </t>
  </si>
  <si>
    <t>5 GAL i100 Toned-Base Interior Paint</t>
  </si>
  <si>
    <t xml:space="preserve">Behr Ultra Exterior Paint Satin Deep </t>
  </si>
  <si>
    <t>Lanco Urethanizer</t>
  </si>
  <si>
    <t>General Cleaning</t>
  </si>
  <si>
    <t>Labor for transportation caused fixes</t>
  </si>
  <si>
    <t>Installation of vanity, toilet and fixtures</t>
  </si>
  <si>
    <t>Purchase of vanity [TBD by client]</t>
  </si>
  <si>
    <t>Purchase of toilet [TBD by client]</t>
  </si>
  <si>
    <t>Purchase of bathroom faucet [TBD by client]</t>
  </si>
  <si>
    <t>Purchase of kitchen faucet [TBD by client]</t>
  </si>
  <si>
    <t>Purchase of other bathroom furniture (shower glass wall, other fixtures...)</t>
  </si>
  <si>
    <t>Doors + Frames + Gozne + Handles</t>
  </si>
  <si>
    <t>Installation of doors</t>
  </si>
  <si>
    <t>TBD</t>
  </si>
  <si>
    <t xml:space="preserve">Note: Data Entry and classify items that applies to the Project, according to scope. </t>
  </si>
  <si>
    <t>EXTERIOR &amp; ADD-ONS</t>
  </si>
  <si>
    <t>BILL AMOUNT</t>
  </si>
  <si>
    <t>Considering High Phreatic Levels</t>
  </si>
  <si>
    <t>Job Days</t>
  </si>
  <si>
    <t>gas</t>
  </si>
  <si>
    <t xml:space="preserve">     Site Electric</t>
  </si>
  <si>
    <t xml:space="preserve">Pedestal and Connection </t>
  </si>
  <si>
    <t>week</t>
  </si>
  <si>
    <t>autoexpreso</t>
  </si>
  <si>
    <t xml:space="preserve">     Site Plumbing</t>
  </si>
  <si>
    <t>weekly hrs</t>
  </si>
  <si>
    <t>lunch</t>
  </si>
  <si>
    <t xml:space="preserve">     Bio Garden</t>
  </si>
  <si>
    <t>rate</t>
  </si>
  <si>
    <t>Consumables</t>
  </si>
  <si>
    <t xml:space="preserve">     Decking</t>
  </si>
  <si>
    <t>Surface</t>
  </si>
  <si>
    <t>CM Cost Weekly</t>
  </si>
  <si>
    <t>Total Consumables</t>
  </si>
  <si>
    <t xml:space="preserve">     Site Work</t>
  </si>
  <si>
    <t>Budget</t>
  </si>
  <si>
    <t>CM Cost Total</t>
  </si>
  <si>
    <t>CM &amp; Consumables</t>
  </si>
  <si>
    <t>Deck Structure</t>
  </si>
  <si>
    <t>Wood Structure</t>
  </si>
  <si>
    <t>Jose Perez</t>
  </si>
  <si>
    <t>CM/Consumable</t>
  </si>
  <si>
    <t>Bathroom/Storage Rental</t>
  </si>
  <si>
    <t>Relleno</t>
  </si>
  <si>
    <t>Airbnb</t>
  </si>
  <si>
    <t>Survey Stakeout</t>
  </si>
  <si>
    <t>Contingency</t>
  </si>
  <si>
    <t>Total</t>
  </si>
  <si>
    <t>Total with Contingency</t>
  </si>
  <si>
    <t>Transport to Site</t>
  </si>
  <si>
    <t>Grua</t>
  </si>
  <si>
    <t>Presupuesto de Transporte</t>
  </si>
  <si>
    <t>Remaining Budget for Lodging</t>
  </si>
  <si>
    <t>Lodging</t>
  </si>
  <si>
    <t>Utilities</t>
  </si>
  <si>
    <t>Difference</t>
  </si>
  <si>
    <t>PROJECT SCOPE OVERVIEW</t>
  </si>
  <si>
    <t>CLIENT</t>
  </si>
  <si>
    <t>Benito Colon</t>
  </si>
  <si>
    <t>DELIVERABLES:</t>
  </si>
  <si>
    <t>DATE</t>
  </si>
  <si>
    <t xml:space="preserve">   Proposal</t>
  </si>
  <si>
    <t>VERSION</t>
  </si>
  <si>
    <t xml:space="preserve">   Design &amp; Construction Docs</t>
  </si>
  <si>
    <t>PRODUCT MODEL</t>
  </si>
  <si>
    <t>L3</t>
  </si>
  <si>
    <t xml:space="preserve">   Product Delivery</t>
  </si>
  <si>
    <t>CLASSIFICATION:</t>
  </si>
  <si>
    <t>PROJECT DESCRIPTION:</t>
  </si>
  <si>
    <t xml:space="preserve">The KONTi L1 model was designed for quick and simple container build and installation. Design specs, construction requirements, and build costs are standard. THIS IS A COST PLUS ESTIMATE AND IS SUBJECT TO CHANGE. </t>
  </si>
  <si>
    <t>SUMMARY:</t>
  </si>
  <si>
    <t xml:space="preserve">  ESTIMATED PROJECT COST</t>
  </si>
  <si>
    <t xml:space="preserve">  PAID TO DATE</t>
  </si>
  <si>
    <t xml:space="preserve">  ESTIMATED PROJECT BALANCE</t>
  </si>
  <si>
    <t>ESTIMATED PROJECT COST BREAKDOWN:</t>
  </si>
  <si>
    <t xml:space="preserve">  DESIGN AND DATA COLLECTION</t>
  </si>
  <si>
    <t xml:space="preserve">  PERMITS &amp; SERVICE FEES</t>
  </si>
  <si>
    <r>
      <rPr>
        <rFont val="Montserrat"/>
        <color theme="1"/>
        <sz val="15.0"/>
      </rPr>
      <t xml:space="preserve">  PRODUCT (CONTAINER</t>
    </r>
    <r>
      <rPr>
        <rFont val="Montserrat"/>
        <color rgb="FF980000"/>
        <sz val="15.0"/>
      </rPr>
      <t>S</t>
    </r>
    <r>
      <rPr>
        <rFont val="Montserrat"/>
        <color theme="1"/>
        <sz val="15.0"/>
      </rPr>
      <t>)</t>
    </r>
  </si>
  <si>
    <t xml:space="preserve">  EXTERIOR &amp; ADD-ONS </t>
  </si>
  <si>
    <t xml:space="preserve">  CONSTRUCTION CONTINGENCY</t>
  </si>
  <si>
    <r>
      <rPr>
        <rFont val="Montserrat"/>
        <color theme="1"/>
        <sz val="12.0"/>
      </rPr>
      <t xml:space="preserve">Designated amount of money within a construction budget that is set aside to cover any unforseen costs, risks, events, or changes in scope that may affect the project's cost over the course of its life. This money is on reserve and is not allocated to any specific area of work. It is a form of risk management used to avoid cutting costs in other areas to keep the project's schedule and quality commitments. This contingency is intended to cover additional costs that might occur due to factors like design changes, unexpected site conditions, weather delays, or other unforeseen circumstances. </t>
    </r>
    <r>
      <rPr>
        <rFont val="Montserrat"/>
        <b/>
        <color theme="1"/>
        <sz val="12.0"/>
      </rPr>
      <t xml:space="preserve">Applies to Product (Containers) and Exterior &amp; Add-ons. </t>
    </r>
  </si>
  <si>
    <t>NOTE: THIS A COST-PLUS ESTIMATE AND IS SUBJECT TO CHANGE.</t>
  </si>
  <si>
    <t>PRE-CONSTRUCTION:</t>
  </si>
  <si>
    <t>Plans and Construction Documents</t>
  </si>
  <si>
    <t>PAID</t>
  </si>
  <si>
    <t>Soil Study</t>
  </si>
  <si>
    <t xml:space="preserve">Survey and Topography  </t>
  </si>
  <si>
    <t>Bio-Garden Design</t>
  </si>
  <si>
    <t>N/A</t>
  </si>
  <si>
    <t>Solar System Design</t>
  </si>
  <si>
    <t>Municipal Patent (5%)</t>
  </si>
  <si>
    <t>UPON APPROVAL</t>
  </si>
  <si>
    <t>Permit Services (First 50%)</t>
  </si>
  <si>
    <t>Permit Services (Last 50%)</t>
  </si>
  <si>
    <t>PENDING</t>
  </si>
  <si>
    <t>State Insurance Fund</t>
  </si>
  <si>
    <t>Permit 1 (Ex. Categórica)</t>
  </si>
  <si>
    <t xml:space="preserve">Permit 2 (Construction)  </t>
  </si>
  <si>
    <t xml:space="preserve">Permit 3 (Use) </t>
  </si>
  <si>
    <t>Liability Insurance</t>
  </si>
  <si>
    <t>Construction Inspection Fee</t>
  </si>
  <si>
    <t>CONSTRUCTION:</t>
  </si>
  <si>
    <t>PRODUCT (CONTAINERS)</t>
  </si>
  <si>
    <t xml:space="preserve">      Container Purchase</t>
  </si>
  <si>
    <t xml:space="preserve">      Structural Prep</t>
  </si>
  <si>
    <t xml:space="preserve">      Exterior Windows &amp; Doors</t>
  </si>
  <si>
    <t>Phase 1 &amp; 2</t>
  </si>
  <si>
    <t xml:space="preserve">      Container Infrastructure</t>
  </si>
  <si>
    <t xml:space="preserve">      Interior Build</t>
  </si>
  <si>
    <t xml:space="preserve">      Bathroom</t>
  </si>
  <si>
    <t xml:space="preserve">      Kitchen</t>
  </si>
  <si>
    <t>Phase 3 &amp; 4</t>
  </si>
  <si>
    <t xml:space="preserve">      Container Finishes</t>
  </si>
  <si>
    <t xml:space="preserve">      Container Installation</t>
  </si>
  <si>
    <t xml:space="preserve">      Detailing</t>
  </si>
  <si>
    <t xml:space="preserve">      Post Construction Cleanup</t>
  </si>
  <si>
    <t>Projected</t>
  </si>
  <si>
    <t xml:space="preserve">     Appliances Purchase</t>
  </si>
  <si>
    <t xml:space="preserve">     Solar Energy</t>
  </si>
  <si>
    <t xml:space="preserve">     Pool</t>
  </si>
  <si>
    <t xml:space="preserve">     Furniture &amp; Interior Elements</t>
  </si>
  <si>
    <t xml:space="preserve">     Windows &amp; Doors (Exterior Structure)</t>
  </si>
  <si>
    <t xml:space="preserve">     Closet Build</t>
  </si>
  <si>
    <t xml:space="preserve">TERMS AND CONDITIONS: </t>
  </si>
  <si>
    <t>01)</t>
  </si>
  <si>
    <r>
      <rPr>
        <rFont val="Arial"/>
        <color theme="1"/>
        <sz val="15.0"/>
      </rPr>
      <t xml:space="preserve">This is a </t>
    </r>
    <r>
      <rPr>
        <rFont val="Arial"/>
        <b/>
        <color theme="1"/>
        <sz val="15.0"/>
      </rPr>
      <t>COST-PLUS</t>
    </r>
    <r>
      <rPr>
        <rFont val="Arial"/>
        <color theme="1"/>
        <sz val="15.0"/>
      </rPr>
      <t xml:space="preserve"> estimate. Costs may vary month to month due to market flunctuation and </t>
    </r>
    <r>
      <rPr>
        <rFont val="Arial"/>
        <b/>
        <color theme="1"/>
        <sz val="15.0"/>
      </rPr>
      <t>this estimate cannot be consider as final.</t>
    </r>
  </si>
  <si>
    <t>02)</t>
  </si>
  <si>
    <t>Before moving forward to the next phase, KONTI DESIGN will evaluate the cost of the following phase. In addition, KONTI DESIGN will send a Project Report and a COST-PLUS estimated projection for the following phase. The estimate will be always aligned with the initial COST-PLUS estimate sent before starting the construction phase.</t>
  </si>
  <si>
    <t>03)</t>
  </si>
  <si>
    <t>Estimate based on drawings and plans supplied on. Any deviation resulting from changes in drawings or site work, will be invoiced as an addition.</t>
  </si>
  <si>
    <t>04)</t>
  </si>
  <si>
    <t>Payments: Initial Deposit will be based on PHASE #1 of Initial COST-PLUS estimate. The following phases will be based on projected costs per phase that will be provided before moving forward to the next phase. Deposits shall be made before the innitiation of each phase.</t>
  </si>
  <si>
    <t>05)</t>
  </si>
  <si>
    <t>If payments are not received on time, KONTI DESIGN has the right to stop further execution, once cure appropiate equitable adjustments to contract sum or time shall be made.</t>
  </si>
  <si>
    <t>06)</t>
  </si>
  <si>
    <t>This conditions will take precedent over any conditions of any subcontract or purchase order, without exception.</t>
  </si>
  <si>
    <t>07)</t>
  </si>
  <si>
    <t>Invoices shall be paid in their total , without holding any reitanage %.</t>
  </si>
  <si>
    <t>08)</t>
  </si>
  <si>
    <t>We emphatically assert our right to relentlessly pursue legal recourse solely within the courts of San Juan, Puerto Rico. The client will be responsible for reimbursing all fees and expenses incurred during this procedure.</t>
  </si>
  <si>
    <t>09)</t>
  </si>
  <si>
    <t xml:space="preserve">Any questions, concerns, change orders, suggestion, etc should be directed to the Project Management Office in writing via email to carla@kontidesign.com, jorge@kontidesign.com and andrea@kontidesign.com. </t>
  </si>
  <si>
    <t>10)</t>
  </si>
  <si>
    <t xml:space="preserve">Site visits should be requested with at least two weeks of anticipation in order to secure the site and ensure civilian safety. </t>
  </si>
  <si>
    <t>11)</t>
  </si>
  <si>
    <t>Clients are ecouraged to stay clear from constrcution sites without proper escort.</t>
  </si>
  <si>
    <t>ACCEPTED BY:</t>
  </si>
  <si>
    <r>
      <rPr>
        <rFont val="Montserrat"/>
        <color theme="1"/>
        <sz val="15.0"/>
      </rPr>
      <t xml:space="preserve">  PRODUCT (CONTAINER</t>
    </r>
    <r>
      <rPr>
        <rFont val="Montserrat"/>
        <color rgb="FF980000"/>
        <sz val="15.0"/>
      </rPr>
      <t>S</t>
    </r>
    <r>
      <rPr>
        <rFont val="Montserrat"/>
        <color theme="1"/>
        <sz val="15.0"/>
      </rPr>
      <t>)</t>
    </r>
  </si>
  <si>
    <r>
      <rPr>
        <rFont val="Montserrat"/>
        <color theme="1"/>
        <sz val="12.0"/>
      </rPr>
      <t xml:space="preserve">Designated amount of money within a construction budget that is set aside to cover any unforseen costs, risks, events, or changes in scope that may affect the project's cost over the course of its life. This money is on reserve and is not allocated to any specific area of work. It is a form of risk management used to avoid cutting costs in other areas to keep the project's schedule and quality commitments. This contingency is intended to cover additional costs that might occur due to factors like design changes, unexpected site conditions, weather delays, or other unforeseen circumstances. </t>
    </r>
    <r>
      <rPr>
        <rFont val="Montserrat"/>
        <b/>
        <color theme="1"/>
        <sz val="12.0"/>
      </rPr>
      <t xml:space="preserve">Applies to Product (Containers) and Exterior &amp; Add-ons. </t>
    </r>
  </si>
  <si>
    <r>
      <rPr>
        <rFont val="Arial"/>
        <color theme="1"/>
        <sz val="15.0"/>
      </rPr>
      <t xml:space="preserve">This is a </t>
    </r>
    <r>
      <rPr>
        <rFont val="Arial"/>
        <b/>
        <color theme="1"/>
        <sz val="15.0"/>
      </rPr>
      <t>COST-PLUS</t>
    </r>
    <r>
      <rPr>
        <rFont val="Arial"/>
        <color theme="1"/>
        <sz val="15.0"/>
      </rPr>
      <t xml:space="preserve"> estimate. Costs may vary month to month due to market flunctuation and </t>
    </r>
    <r>
      <rPr>
        <rFont val="Arial"/>
        <b/>
        <color theme="1"/>
        <sz val="15.0"/>
      </rPr>
      <t>this estimate cannot be consider as final.</t>
    </r>
  </si>
  <si>
    <t>Frances Cartagena</t>
  </si>
  <si>
    <t xml:space="preserve">The KONTi L3 model was designed for quick and simple container build and installation. Design specs, construction requirements, and build costs are standard. THIS IS A COST PLUS ESTIMATE AND IS SUBJECT TO CHANGE. </t>
  </si>
  <si>
    <t>TOTAL ESTIMATED PROJECT COST</t>
  </si>
  <si>
    <t>PAID TO DATE</t>
  </si>
  <si>
    <t>ESTIMATED PROJECT BALANCE</t>
  </si>
  <si>
    <t>DESIGN AND DATA COLLECTION</t>
  </si>
  <si>
    <t>PERMITS &amp; SERVICE FEES</t>
  </si>
  <si>
    <r>
      <rPr>
        <rFont val="Montserrat"/>
        <color theme="1"/>
        <sz val="14.0"/>
      </rPr>
      <t>PRODUCT (CONTAINER</t>
    </r>
    <r>
      <rPr>
        <rFont val="Montserrat"/>
        <color rgb="FF980000"/>
        <sz val="14.0"/>
      </rPr>
      <t>S</t>
    </r>
    <r>
      <rPr>
        <rFont val="Montserrat"/>
        <color theme="1"/>
        <sz val="14.0"/>
      </rPr>
      <t>)</t>
    </r>
  </si>
  <si>
    <t>CONSTRUCTION CONTINGENCY</t>
  </si>
  <si>
    <t>Designated amount of money within a construction budget that is set aside to cover any unforseen costs, risks, events, or changes in scope that may affect the project's cost over the course of its life. This money is on reserve and is not allocated to any specific area of work. It is a form of risk management used to avoid cutting costs in other areas to keep the project's schedule and quality commitments. This contingency is intended to cover additional costs that might occur due to factors like design changes, unexpected site conditions, weather delays, or other unforeseen circumstances.</t>
  </si>
  <si>
    <t xml:space="preserve">      Plans and Construction Documents</t>
  </si>
  <si>
    <t xml:space="preserve">      Soil Study</t>
  </si>
  <si>
    <t xml:space="preserve">      Survey and Topography  </t>
  </si>
  <si>
    <t xml:space="preserve">      Bio-Garden Design</t>
  </si>
  <si>
    <t xml:space="preserve">      Solar System Design</t>
  </si>
  <si>
    <t xml:space="preserve">      Municipal Patent (5%)</t>
  </si>
  <si>
    <t xml:space="preserve">      State Insurance Fund</t>
  </si>
  <si>
    <t xml:space="preserve">      Permit 1 (Ex. Categórica)</t>
  </si>
  <si>
    <t xml:space="preserve">      Permit 2 (Construction)  </t>
  </si>
  <si>
    <t xml:space="preserve">      Permit 3 (Use) </t>
  </si>
  <si>
    <t xml:space="preserve">      Liability Insurance</t>
  </si>
  <si>
    <t xml:space="preserve">      Construction Inspection Fee</t>
  </si>
  <si>
    <r>
      <rPr>
        <rFont val="Montserrat, Arial"/>
        <i/>
        <color theme="1"/>
        <sz val="14.0"/>
      </rPr>
      <t xml:space="preserve">This is a </t>
    </r>
    <r>
      <rPr>
        <rFont val="Montserrat, Arial"/>
        <b/>
        <i/>
        <color theme="1"/>
        <sz val="14.0"/>
      </rPr>
      <t>COST-PLUS</t>
    </r>
    <r>
      <rPr>
        <rFont val="Montserrat, Arial"/>
        <i/>
        <color theme="1"/>
        <sz val="14.0"/>
      </rPr>
      <t xml:space="preserve"> estimate. Costs may vary month to month due to market flunctuation and </t>
    </r>
    <r>
      <rPr>
        <rFont val="Montserrat, Arial"/>
        <b/>
        <i/>
        <color theme="1"/>
        <sz val="14.0"/>
      </rPr>
      <t>this estimate cannot be consider as final.</t>
    </r>
  </si>
  <si>
    <t>WORK BREAKDOWN STRUCTURE (WBS)</t>
  </si>
  <si>
    <t>Phase: Containers Build</t>
  </si>
  <si>
    <t>Project Owner</t>
  </si>
  <si>
    <t>PHASE #1</t>
  </si>
  <si>
    <t>PHASE #2</t>
  </si>
  <si>
    <t>PHASE #3</t>
  </si>
  <si>
    <t>PHASE #4</t>
  </si>
  <si>
    <t>PHASE #5</t>
  </si>
  <si>
    <t xml:space="preserve">  1.1 Container Purchase</t>
  </si>
  <si>
    <t xml:space="preserve">  2.1 Infrastructure</t>
  </si>
  <si>
    <t xml:space="preserve">  3.1 Interior Build</t>
  </si>
  <si>
    <t xml:space="preserve"> 4.1 Kitchen</t>
  </si>
  <si>
    <t xml:space="preserve">  5.1 Detailing</t>
  </si>
  <si>
    <t>-</t>
  </si>
  <si>
    <t>Purchase of Container</t>
  </si>
  <si>
    <t>Metal framing</t>
  </si>
  <si>
    <t>Panels</t>
  </si>
  <si>
    <t>Bathroom Furniture &amp; Fixtures</t>
  </si>
  <si>
    <t>Transport to shop</t>
  </si>
  <si>
    <t>Insulation</t>
  </si>
  <si>
    <t>Stove &amp; Sink Installation</t>
  </si>
  <si>
    <t>Toilet Purchase &amp; Installation</t>
  </si>
  <si>
    <t xml:space="preserve">  1.2 Structural Prep</t>
  </si>
  <si>
    <t>Blockings</t>
  </si>
  <si>
    <t xml:space="preserve">  4.2 Finishes</t>
  </si>
  <si>
    <t>Vanity Purchase &amp; Installation</t>
  </si>
  <si>
    <t>Frame &amp; Cuts</t>
  </si>
  <si>
    <t>AC Units (If applicable)</t>
  </si>
  <si>
    <t>Ceiling Fan (If applicable)</t>
  </si>
  <si>
    <t>Faucets Purchase &amp; Installation</t>
  </si>
  <si>
    <t>Frames Sealing</t>
  </si>
  <si>
    <t>Primer</t>
  </si>
  <si>
    <t>Recessed Lights (If applicable)</t>
  </si>
  <si>
    <t>Other Purchase &amp; Installation</t>
  </si>
  <si>
    <t>Red Oxide Primer</t>
  </si>
  <si>
    <t>Gypsum Board Panels</t>
  </si>
  <si>
    <t xml:space="preserve">  3.2 Bathroom</t>
  </si>
  <si>
    <t>Pendant Lamps</t>
  </si>
  <si>
    <t>Interior Doors</t>
  </si>
  <si>
    <t>Fumigation</t>
  </si>
  <si>
    <t>2.2 Container Installation</t>
  </si>
  <si>
    <t>Tiles</t>
  </si>
  <si>
    <t>Interior Painting</t>
  </si>
  <si>
    <t>Transportation fixes</t>
  </si>
  <si>
    <t xml:space="preserve">  1.3 Exterior Windows &amp; Doors</t>
  </si>
  <si>
    <t xml:space="preserve">  3.3 Kitchen</t>
  </si>
  <si>
    <t>Roof sealing and heat...</t>
  </si>
  <si>
    <t xml:space="preserve">  5.2 Post Construction Clean-up</t>
  </si>
  <si>
    <t>Manufacturing</t>
  </si>
  <si>
    <t>ACTUAL</t>
  </si>
  <si>
    <t>PHASE ONE</t>
  </si>
  <si>
    <t>PAID Invoice #1</t>
  </si>
  <si>
    <t>PHASE TWO</t>
  </si>
  <si>
    <t>PAID Invoice #2</t>
  </si>
  <si>
    <t>PHASE THREE</t>
  </si>
  <si>
    <t>PHASE FOUR</t>
  </si>
  <si>
    <t>PHASE FIVE</t>
  </si>
  <si>
    <t xml:space="preserve"> Budget</t>
  </si>
  <si>
    <t xml:space="preserve"> Product Build</t>
  </si>
  <si>
    <t xml:space="preserve"> Ext &amp; Add-on:</t>
  </si>
  <si>
    <t xml:space="preserve">     PM Site Visits</t>
  </si>
  <si>
    <t xml:space="preserve"> Difference</t>
  </si>
  <si>
    <t>PRODUCT TYPE</t>
  </si>
  <si>
    <t>Enter Type</t>
  </si>
  <si>
    <t xml:space="preserve">The KONTi [ENTER MODEL] model was designed for a modular steel beam and post construction to be assembled on site. Design specs, construction requirements, and build costs are standard. THIS IS A COST PLUS ESTIMATE AND IS SUBJECT TO CHANGE. </t>
  </si>
  <si>
    <t>TOTAL PROJECT COST</t>
  </si>
  <si>
    <r>
      <rPr>
        <rFont val="Montserrat"/>
        <color theme="1"/>
        <sz val="14.0"/>
      </rPr>
      <t>CONTAINER</t>
    </r>
    <r>
      <rPr>
        <rFont val="Montserrat"/>
        <color rgb="FF980000"/>
        <sz val="14.0"/>
      </rPr>
      <t>(S)</t>
    </r>
  </si>
  <si>
    <t>DESIGN AND PERMITS:</t>
  </si>
  <si>
    <t xml:space="preserve">   DESIGN AND DATA COLLECTION</t>
  </si>
  <si>
    <t xml:space="preserve">      Solar Energy Design</t>
  </si>
  <si>
    <t xml:space="preserve">      Permit Services</t>
  </si>
  <si>
    <t>recuerda hacer el drop down aqui.. con REA/DEA</t>
  </si>
  <si>
    <t xml:space="preserve">      Mandatory State Insurance</t>
  </si>
  <si>
    <r>
      <rPr>
        <rFont val="Montserrat"/>
        <b/>
        <i/>
        <color rgb="FFFFFFFF"/>
        <sz val="10.0"/>
      </rPr>
      <t xml:space="preserve">Note: </t>
    </r>
    <r>
      <rPr>
        <rFont val="Montserrat"/>
        <i/>
        <color rgb="FFFFFFFF"/>
        <sz val="10.0"/>
      </rPr>
      <t>The projected costs have been calculated in line with the construction percentages stipulated by the Puerto Rico government and remain the exclusive obligation of the owner. KONTi Design assumes no liability for ultimate expenses ascertained by pertinent authorities and local bodies, contingent on the furnished documentation. Should the KONTi Design team need to secure financing for these outlays on behalf of the client, a coordination fee of 20% will be implemented, with the exception of the Municipal Patent, which will encompass a 10% coordination fee.</t>
    </r>
  </si>
  <si>
    <t xml:space="preserve">CONSTRUCTION:                </t>
  </si>
  <si>
    <t>CONTAINER(S): PHASE 1</t>
  </si>
  <si>
    <t xml:space="preserve">      Exterior Windows &amp; Doors (Purchase)</t>
  </si>
  <si>
    <t xml:space="preserve">      Coordination Fee</t>
  </si>
  <si>
    <r>
      <rPr>
        <rFont val="Montserrat"/>
        <b/>
        <i/>
        <color rgb="FFFFFFFF"/>
        <sz val="10.0"/>
      </rPr>
      <t>Includes:</t>
    </r>
    <r>
      <rPr>
        <rFont val="Montserrat"/>
        <i/>
        <color rgb="FFFFFFFF"/>
        <sz val="10.0"/>
      </rPr>
      <t xml:space="preserve"> Purchase &amp; Transport to shop; Cuts &amp; Framing, Red Oxide , Extermination; Start of manufacturing of exterior windows &amp; doors</t>
    </r>
  </si>
  <si>
    <t>CONTAINER(S): PHASE 2</t>
  </si>
  <si>
    <t xml:space="preserve">      Exterior Windows &amp; Doors (Installation)</t>
  </si>
  <si>
    <t xml:space="preserve">      Kitchen Build   </t>
  </si>
  <si>
    <r>
      <rPr>
        <rFont val="Montserrat"/>
        <b/>
        <i/>
        <color rgb="FFFFFFFF"/>
        <sz val="10.0"/>
      </rPr>
      <t xml:space="preserve">Includes: </t>
    </r>
    <r>
      <rPr>
        <rFont val="Montserrat"/>
        <i/>
        <color rgb="FFFFFFFF"/>
        <sz val="10.0"/>
      </rPr>
      <t>Exterior</t>
    </r>
    <r>
      <rPr>
        <rFont val="Montserrat"/>
        <b/>
        <i/>
        <color rgb="FFFFFFFF"/>
        <sz val="10.0"/>
      </rPr>
      <t xml:space="preserve"> </t>
    </r>
    <r>
      <rPr>
        <rFont val="Montserrat"/>
        <i/>
        <color rgb="FFFFFFFF"/>
        <sz val="10.0"/>
      </rPr>
      <t>Windows &amp; Doors installation; Metal framing, insulation, plumbing &amp; electrical infrastructure; Start Kitchen Manufacturing</t>
    </r>
  </si>
  <si>
    <t>CONTAINER(S): PHASE 3</t>
  </si>
  <si>
    <t xml:space="preserve">      Bathrooms</t>
  </si>
  <si>
    <t xml:space="preserve">      Container Build</t>
  </si>
  <si>
    <t xml:space="preserve">      Kitchen Installation</t>
  </si>
  <si>
    <r>
      <rPr>
        <rFont val="Montserrat"/>
        <b/>
        <i/>
        <color rgb="FFFFFFFF"/>
        <sz val="10.0"/>
      </rPr>
      <t>Includes:</t>
    </r>
    <r>
      <rPr>
        <rFont val="Montserrat"/>
        <i/>
        <color rgb="FFFFFFFF"/>
        <sz val="10.0"/>
      </rPr>
      <t xml:space="preserve"> Gypsum Installation, Mudding &amp; Sanding, Flooring, Priming paint; AC units installation; Tiles, Shower Head &amp; Drain Installation; Kitchen cabinets, tops, sink &amp; stove installation</t>
    </r>
  </si>
  <si>
    <t>CONTAINER(S): PHASE 4</t>
  </si>
  <si>
    <t xml:space="preserve">      Transportation</t>
  </si>
  <si>
    <r>
      <rPr>
        <rFont val="Montserrat"/>
        <b/>
        <i/>
        <color rgb="FFFFFFFF"/>
        <sz val="10.0"/>
      </rPr>
      <t xml:space="preserve">Includes: </t>
    </r>
    <r>
      <rPr>
        <rFont val="Montserrat"/>
        <i/>
        <color rgb="FFFFFFFF"/>
        <sz val="10.0"/>
      </rPr>
      <t>Electrical finishes; Interior &amp; Exterior Painting; Roof sealing &amp; heat treatment; Interior doors purchase &amp; installation; transport to site</t>
    </r>
  </si>
  <si>
    <t>CONTAINER(S): PHASE 5</t>
  </si>
  <si>
    <r>
      <rPr>
        <rFont val="Montserrat"/>
        <b/>
        <i/>
        <color rgb="FFFFFFFF"/>
        <sz val="10.0"/>
      </rPr>
      <t>Includes:</t>
    </r>
    <r>
      <rPr>
        <rFont val="Montserrat"/>
        <i/>
        <color rgb="FFFFFFFF"/>
        <sz val="10.0"/>
      </rPr>
      <t xml:space="preserve"> Purchase &amp; Installation of vanity, toilet, faucets; Site Punchlist final details; Last Clean up; Product hand-off</t>
    </r>
  </si>
  <si>
    <t>EXTERIOR AND ADD-ONS</t>
  </si>
  <si>
    <t xml:space="preserve">      Foundation</t>
  </si>
  <si>
    <t xml:space="preserve">      Appliances Purchase</t>
  </si>
  <si>
    <t xml:space="preserve">      Solar Energy</t>
  </si>
  <si>
    <t xml:space="preserve">      Site Electric</t>
  </si>
  <si>
    <t xml:space="preserve">      Site Plumbing</t>
  </si>
  <si>
    <t xml:space="preserve">      Bio-Garden</t>
  </si>
  <si>
    <t xml:space="preserve">      Pool</t>
  </si>
  <si>
    <t xml:space="preserve">      Steel Structure</t>
  </si>
  <si>
    <t xml:space="preserve">      Decking</t>
  </si>
  <si>
    <t xml:space="preserve">      Site Work</t>
  </si>
  <si>
    <t xml:space="preserve">      Furniture and Interior Design Elements</t>
  </si>
  <si>
    <r>
      <rPr>
        <rFont val="Montserrat"/>
        <b/>
        <i/>
        <color rgb="FFFFFFFF"/>
        <sz val="10.0"/>
      </rPr>
      <t xml:space="preserve">Note: </t>
    </r>
    <r>
      <rPr>
        <rFont val="Montserrat"/>
        <i/>
        <color rgb="FFFFFFFF"/>
        <sz val="10.0"/>
      </rPr>
      <t>Each item in the "Exterior" and "Add-Ons" categories has been quoted separately. The client is free to source quotes and manage the coordination of the work independently. In cases where Konti Design is not responsible for project coordination, we will not assume responsibility for the job.</t>
    </r>
  </si>
  <si>
    <t xml:space="preserve">CONDITIONS AND CLARIFICATIONS: </t>
  </si>
  <si>
    <t>1)</t>
  </si>
  <si>
    <r>
      <rPr>
        <rFont val="Montserrat, Arial"/>
        <i/>
        <color theme="1"/>
        <sz val="14.0"/>
      </rPr>
      <t xml:space="preserve">This is a </t>
    </r>
    <r>
      <rPr>
        <rFont val="Montserrat, Arial"/>
        <b/>
        <i/>
        <color theme="1"/>
        <sz val="14.0"/>
      </rPr>
      <t>COST-PLUS</t>
    </r>
    <r>
      <rPr>
        <rFont val="Montserrat, Arial"/>
        <i/>
        <color theme="1"/>
        <sz val="14.0"/>
      </rPr>
      <t xml:space="preserve"> estimate. Costs may vary month to month due to market flunctuation and </t>
    </r>
    <r>
      <rPr>
        <rFont val="Montserrat, Arial"/>
        <b/>
        <i/>
        <color theme="1"/>
        <sz val="14.0"/>
      </rPr>
      <t>this estimate cannot be consider as final.</t>
    </r>
  </si>
  <si>
    <t>2)</t>
  </si>
  <si>
    <t>3)</t>
  </si>
  <si>
    <t>4)</t>
  </si>
  <si>
    <t>5)</t>
  </si>
  <si>
    <t>6)</t>
  </si>
  <si>
    <t>7)</t>
  </si>
  <si>
    <t>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</si>
</sst>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quot;$&quot;#,##0"/>
    <numFmt numFmtId="166" formatCode="_(&quot;$&quot;* #,##0_);_(&quot;$&quot;* \(#,##0\);_(&quot;$&quot;* &quot;-&quot;??_);_(@_)"/>
    <numFmt numFmtId="167" formatCode="#,##0;\(#,##0\)"/>
    <numFmt numFmtId="168" formatCode="_(&quot;$&quot;* #,##0.00_);_(&quot;$&quot;* \(#,##0.00\);_(&quot;$&quot;* &quot;-&quot;??_);_(@_)"/>
    <numFmt numFmtId="169" formatCode="#,##0.00;\(#,##0.00\)"/>
  </numFmts>
  <fonts count="53">
    <font>
      <sz val="10.0"/>
      <color rgb="FF000000"/>
      <name val="Arial"/>
      <scheme val="minor"/>
    </font>
    <font>
      <b/>
      <sz val="10.0"/>
      <color theme="1"/>
      <name val="Montserrat"/>
    </font>
    <font>
      <b/>
      <sz val="20.0"/>
      <color rgb="FF000000"/>
      <name val="Montserrat"/>
    </font>
    <font/>
    <font>
      <sz val="10.0"/>
      <color theme="1"/>
      <name val="Montserrat"/>
    </font>
    <font>
      <sz val="10.0"/>
      <color theme="0"/>
      <name val="Montserrat"/>
    </font>
    <font>
      <b/>
      <sz val="15.0"/>
      <color theme="1"/>
      <name val="Montserrat"/>
    </font>
    <font>
      <b/>
      <sz val="15.0"/>
      <color rgb="FF4F5E2A"/>
      <name val="Montserrat"/>
    </font>
    <font>
      <sz val="10.0"/>
      <color theme="1"/>
      <name val="Arial"/>
    </font>
    <font>
      <sz val="12.0"/>
      <color theme="1"/>
      <name val="Montserrat"/>
    </font>
    <font>
      <b/>
      <sz val="12.0"/>
      <color rgb="FF980000"/>
      <name val="Montserrat"/>
    </font>
    <font>
      <b/>
      <sz val="12.0"/>
      <color theme="1"/>
      <name val="Montserrat"/>
    </font>
    <font>
      <b/>
      <sz val="15.0"/>
      <color rgb="FFFFFFFF"/>
      <name val="Montserrat"/>
    </font>
    <font>
      <b/>
      <sz val="8.0"/>
      <color theme="1"/>
      <name val="Montserrat"/>
    </font>
    <font>
      <b/>
      <sz val="12.0"/>
      <color rgb="FFFFFFFF"/>
      <name val="Montserrat"/>
    </font>
    <font>
      <b/>
      <sz val="10.0"/>
      <color rgb="FF85200C"/>
      <name val="Montserrat"/>
    </font>
    <font>
      <sz val="15.0"/>
      <color rgb="FF000000"/>
      <name val="Montserrat"/>
    </font>
    <font>
      <b/>
      <sz val="15.0"/>
      <color rgb="FF000000"/>
      <name val="Montserrat"/>
    </font>
    <font>
      <b/>
      <sz val="10.0"/>
      <color theme="0"/>
      <name val="Montserrat"/>
    </font>
    <font>
      <b/>
      <sz val="10.0"/>
      <color rgb="FFFFFFFF"/>
      <name val="Montserrat"/>
    </font>
    <font>
      <b/>
      <sz val="10.0"/>
      <color rgb="FF4F5E2A"/>
      <name val="Montserrat"/>
    </font>
    <font>
      <sz val="10.0"/>
      <color theme="0"/>
      <name val="Arial"/>
    </font>
    <font>
      <b/>
      <sz val="12.0"/>
      <color theme="0"/>
      <name val="Montserrat"/>
    </font>
    <font>
      <b/>
      <sz val="12.0"/>
      <color rgb="FF000000"/>
      <name val="Montserrat"/>
    </font>
    <font>
      <b/>
      <sz val="10.0"/>
      <color theme="1"/>
      <name val="Arial"/>
    </font>
    <font>
      <b/>
      <sz val="10.0"/>
      <color rgb="FF000000"/>
      <name val="Montserrat"/>
    </font>
    <font>
      <sz val="10.0"/>
      <color rgb="FFFF0000"/>
      <name val="Arial"/>
    </font>
    <font>
      <b/>
      <sz val="30.0"/>
      <color theme="1"/>
      <name val="Montserrat"/>
    </font>
    <font>
      <sz val="12.0"/>
      <color theme="1"/>
      <name val="Arial"/>
    </font>
    <font>
      <sz val="15.0"/>
      <color theme="1"/>
      <name val="Arial"/>
    </font>
    <font>
      <sz val="15.0"/>
      <color theme="1"/>
      <name val="Montserrat"/>
    </font>
    <font>
      <u/>
      <sz val="15.0"/>
      <color theme="1"/>
      <name val="Montserrat"/>
    </font>
    <font>
      <sz val="14.0"/>
      <color theme="1"/>
      <name val="Montserrat"/>
    </font>
    <font>
      <b/>
      <sz val="14.0"/>
      <color theme="1"/>
      <name val="Montserrat"/>
    </font>
    <font>
      <i/>
      <sz val="14.0"/>
      <color theme="1"/>
      <name val="Montserrat"/>
    </font>
    <font>
      <b/>
      <sz val="20.0"/>
      <color theme="1"/>
      <name val="Arial"/>
    </font>
    <font>
      <sz val="20.0"/>
      <color theme="1"/>
      <name val="Arial"/>
    </font>
    <font>
      <b/>
      <sz val="14.0"/>
      <color rgb="FFFFFFFF"/>
      <name val="Montserrat"/>
    </font>
    <font>
      <b/>
      <i/>
      <sz val="14.0"/>
      <color theme="1"/>
      <name val="Montserrat"/>
    </font>
    <font>
      <b/>
      <sz val="10.0"/>
      <color rgb="FFFFFFFF"/>
      <name val="Arial"/>
    </font>
    <font>
      <sz val="10.0"/>
      <color theme="1"/>
      <name val="Verdana"/>
    </font>
    <font>
      <b/>
      <sz val="15.0"/>
      <color rgb="FF980000"/>
      <name val="Verdana"/>
    </font>
    <font>
      <b/>
      <sz val="15.0"/>
      <color rgb="FF000000"/>
      <name val="Verdana"/>
    </font>
    <font>
      <sz val="10.0"/>
      <color rgb="FFFFFFFF"/>
      <name val="Montserrat"/>
    </font>
    <font>
      <sz val="10.0"/>
      <color rgb="FF000000"/>
      <name val="Montserrat"/>
    </font>
    <font>
      <b/>
      <i/>
      <sz val="10.0"/>
      <color theme="1"/>
      <name val="Montserrat"/>
    </font>
    <font>
      <b/>
      <sz val="8.0"/>
      <color rgb="FFFF0000"/>
      <name val="Verdana"/>
    </font>
    <font>
      <i/>
      <sz val="10.0"/>
      <color theme="1"/>
      <name val="Arial"/>
    </font>
    <font>
      <b/>
      <sz val="18.0"/>
      <color theme="1"/>
      <name val="Montserrat"/>
    </font>
    <font>
      <b/>
      <sz val="18.0"/>
      <color rgb="FFFFFFFF"/>
      <name val="Montserrat"/>
    </font>
    <font>
      <sz val="14.0"/>
      <color rgb="FFFFFFFF"/>
      <name val="Montserrat"/>
    </font>
    <font>
      <sz val="14.0"/>
      <color rgb="FF980000"/>
      <name val="Montserrat"/>
    </font>
    <font>
      <i/>
      <sz val="10.0"/>
      <color rgb="FFFFFFFF"/>
      <name val="Montserrat"/>
    </font>
  </fonts>
  <fills count="17">
    <fill>
      <patternFill patternType="none"/>
    </fill>
    <fill>
      <patternFill patternType="lightGray"/>
    </fill>
    <fill>
      <patternFill patternType="solid">
        <fgColor rgb="FFE6EAEB"/>
        <bgColor rgb="FFE6EAEB"/>
      </patternFill>
    </fill>
    <fill>
      <patternFill patternType="solid">
        <fgColor rgb="FFF3F3F3"/>
        <bgColor rgb="FFF3F3F3"/>
      </patternFill>
    </fill>
    <fill>
      <patternFill patternType="solid">
        <fgColor rgb="FF4F5E2A"/>
        <bgColor rgb="FF4F5E2A"/>
      </patternFill>
    </fill>
    <fill>
      <patternFill patternType="solid">
        <fgColor rgb="FFEFEFEF"/>
        <bgColor rgb="FFEFEFEF"/>
      </patternFill>
    </fill>
    <fill>
      <patternFill patternType="solid">
        <fgColor rgb="FF000000"/>
        <bgColor rgb="FF000000"/>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
      <patternFill patternType="solid">
        <fgColor rgb="FF434343"/>
        <bgColor rgb="FF434343"/>
      </patternFill>
    </fill>
    <fill>
      <patternFill patternType="solid">
        <fgColor rgb="FF778894"/>
        <bgColor rgb="FF778894"/>
      </patternFill>
    </fill>
    <fill>
      <patternFill patternType="solid">
        <fgColor rgb="FF8394A0"/>
        <bgColor rgb="FF8394A0"/>
      </patternFill>
    </fill>
  </fills>
  <borders count="75">
    <border/>
    <border>
      <bottom style="medium">
        <color rgb="FF000000"/>
      </bottom>
    </border>
    <border>
      <left/>
      <right/>
      <top/>
      <bottom/>
    </border>
    <border>
      <bottom style="thin">
        <color rgb="FF4F5E2A"/>
      </bottom>
    </border>
    <border>
      <left/>
      <top/>
    </border>
    <border>
      <right/>
      <top/>
    </border>
    <border>
      <left/>
      <bottom/>
    </border>
    <border>
      <right/>
      <bottom/>
    </border>
    <border>
      <left style="thin">
        <color rgb="FF4F5E2A"/>
      </left>
      <right style="thin">
        <color rgb="FF4F5E2A"/>
      </right>
      <top style="thin">
        <color rgb="FF4F5E2A"/>
      </top>
      <bottom/>
    </border>
    <border>
      <bottom style="thin">
        <color rgb="FF000000"/>
      </bottom>
    </border>
    <border>
      <left/>
      <right/>
      <top/>
    </border>
    <border>
      <left/>
      <right/>
      <bottom/>
    </border>
    <border>
      <left style="thin">
        <color rgb="FFFFFFFF"/>
      </left>
      <right/>
      <top style="thin">
        <color rgb="FFFFFFFF"/>
      </top>
      <bottom style="thin">
        <color rgb="FFFFFFFF"/>
      </bottom>
    </border>
    <border>
      <left/>
      <right/>
      <top style="thin">
        <color rgb="FFFFFFFF"/>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bottom style="thin">
        <color rgb="FFFFFFFF"/>
      </bottom>
    </border>
    <border>
      <left style="thin">
        <color rgb="FFFFFFFF"/>
      </left>
      <right style="thin">
        <color rgb="FFFFFFFF"/>
      </right>
      <top style="thin">
        <color rgb="FFFFFFFF"/>
      </top>
      <bottom style="thin">
        <color rgb="FFFFFFFF"/>
      </bottom>
    </border>
    <border>
      <left style="thin">
        <color rgb="FF4F5E2A"/>
      </left>
      <right style="thin">
        <color rgb="FF4F5E2A"/>
      </right>
      <top style="thin">
        <color rgb="FF4F5E2A"/>
      </top>
      <bottom style="thin">
        <color rgb="FF4F5E2A"/>
      </bottom>
    </border>
    <border>
      <left/>
      <right/>
      <top/>
      <bottom style="thin">
        <color rgb="FF4F5E2A"/>
      </bottom>
    </border>
    <border>
      <top style="thin">
        <color rgb="FF4F5E2A"/>
      </top>
      <bottom style="thin">
        <color rgb="FF4F5E2A"/>
      </bottom>
    </border>
    <border>
      <left style="thin">
        <color rgb="FF4F5E2A"/>
      </left>
      <right style="thin">
        <color rgb="FF4F5E2A"/>
      </right>
      <top style="thin">
        <color rgb="FF4F5E2A"/>
      </top>
    </border>
    <border>
      <left style="thin">
        <color rgb="FF4F5E2A"/>
      </left>
      <right style="thin">
        <color rgb="FF4F5E2A"/>
      </right>
      <bottom style="thin">
        <color rgb="FF4F5E2A"/>
      </bottom>
    </border>
    <border>
      <left/>
      <right/>
      <top style="thin">
        <color rgb="FF4F5E2A"/>
      </top>
      <bottom style="thin">
        <color rgb="FF4F5E2A"/>
      </bottom>
    </border>
    <border>
      <left/>
      <right/>
      <top style="thin">
        <color rgb="FF4F5E2A"/>
      </top>
      <bottom/>
    </border>
    <border>
      <top style="thin">
        <color rgb="FF4F5E2A"/>
      </top>
    </border>
    <border>
      <left style="thin">
        <color rgb="FF778894"/>
      </left>
      <right/>
      <top/>
      <bottom/>
    </border>
    <border>
      <left style="thin">
        <color rgb="FF778894"/>
      </left>
      <right/>
      <top/>
      <bottom style="thin">
        <color rgb="FF778894"/>
      </bottom>
    </border>
    <border>
      <top style="thin">
        <color rgb="FF000000"/>
      </top>
      <bottom style="thin">
        <color rgb="FF000000"/>
      </bottom>
    </border>
    <border>
      <left style="thin">
        <color rgb="FFFFFFFF"/>
      </left>
      <right/>
      <top style="thin">
        <color rgb="FFFFFFFF"/>
      </top>
      <bottom/>
    </border>
    <border>
      <left/>
      <right/>
      <top style="thin">
        <color rgb="FFFFFFFF"/>
      </top>
      <bottom/>
    </border>
    <border>
      <left/>
      <right style="thin">
        <color rgb="FFFFFFFF"/>
      </right>
      <top style="thin">
        <color rgb="FFFFFFFF"/>
      </top>
      <bottom/>
    </border>
    <border>
      <left style="thin">
        <color rgb="FFFFFFFF"/>
      </left>
      <right/>
      <top/>
      <bottom style="thin">
        <color rgb="FFFFFFFF"/>
      </bottom>
    </border>
    <border>
      <left/>
      <right/>
      <top/>
      <bottom style="thin">
        <color rgb="FFFFFFFF"/>
      </bottom>
    </border>
    <border>
      <left/>
      <top/>
      <bottom style="thin">
        <color rgb="FFFFFFFF"/>
      </bottom>
    </border>
    <border>
      <top/>
      <bottom style="thin">
        <color rgb="FFFFFFFF"/>
      </bottom>
    </border>
    <border>
      <right/>
      <top/>
      <bottom style="thin">
        <color rgb="FFFFFFFF"/>
      </bottom>
    </border>
    <border>
      <left/>
      <right style="thin">
        <color rgb="FFFFFFFF"/>
      </right>
      <top/>
      <bottom style="thin">
        <color rgb="FFFFFFFF"/>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4F5E2A"/>
      </left>
      <top style="thin">
        <color rgb="FF4F5E2A"/>
      </top>
      <bottom/>
    </border>
    <border>
      <top style="thin">
        <color rgb="FF4F5E2A"/>
      </top>
      <bottom/>
    </border>
    <border>
      <right style="thin">
        <color rgb="FF4F5E2A"/>
      </right>
      <top style="thin">
        <color rgb="FF4F5E2A"/>
      </top>
      <bottom/>
    </border>
    <border>
      <left style="thin">
        <color rgb="FFFFFFFF"/>
      </left>
      <right/>
      <top/>
      <bottom/>
    </border>
    <border>
      <left/>
      <right style="thin">
        <color rgb="FFFFFFFF"/>
      </right>
      <top/>
      <bottom/>
    </border>
    <border>
      <left style="thin">
        <color rgb="FFFFFFFF"/>
      </left>
      <top style="thin">
        <color rgb="FFFFFFFF"/>
      </top>
      <bottom/>
    </border>
    <border>
      <top style="thin">
        <color rgb="FFFFFFFF"/>
      </top>
      <bottom/>
    </border>
    <border>
      <right style="thin">
        <color rgb="FFFFFFFF"/>
      </right>
      <top style="thin">
        <color rgb="FFFFFFFF"/>
      </top>
      <bottom/>
    </border>
    <border>
      <top style="medium">
        <color rgb="FF000000"/>
      </top>
    </border>
    <border>
      <left style="thin">
        <color rgb="FF000000"/>
      </left>
      <right/>
      <top style="thin">
        <color rgb="FF000000"/>
      </top>
      <bottom style="thin">
        <color rgb="FF000000"/>
      </bottom>
    </border>
    <border>
      <left/>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top/>
      <bottom/>
    </border>
    <border>
      <right/>
      <top/>
      <bottom/>
    </border>
    <border>
      <left style="medium">
        <color rgb="FF000000"/>
      </left>
    </border>
    <border>
      <top/>
      <bottom/>
    </border>
    <border>
      <left/>
      <right/>
      <top/>
      <bottom style="medium">
        <color rgb="FF000000"/>
      </bottom>
    </border>
    <border>
      <bottom style="medium">
        <color rgb="FF778894"/>
      </bottom>
    </border>
    <border>
      <right style="medium">
        <color rgb="FF778894"/>
      </right>
    </border>
    <border>
      <left/>
      <right/>
      <top/>
      <bottom style="medium">
        <color rgb="FF778894"/>
      </bottom>
    </border>
    <border>
      <left/>
      <right/>
      <top style="medium">
        <color rgb="FF778894"/>
      </top>
      <bottom style="medium">
        <color rgb="FF778894"/>
      </bottom>
    </border>
    <border>
      <right style="medium">
        <color rgb="FF778894"/>
      </right>
      <top style="medium">
        <color rgb="FF778894"/>
      </top>
      <bottom style="medium">
        <color rgb="FF778894"/>
      </bottom>
    </border>
    <border>
      <right style="medium">
        <color rgb="FF778894"/>
      </right>
      <bottom style="medium">
        <color rgb="FF778894"/>
      </bottom>
    </border>
  </borders>
  <cellStyleXfs count="1">
    <xf borderId="0" fillId="0" fontId="0" numFmtId="0" applyAlignment="1" applyFont="1"/>
  </cellStyleXfs>
  <cellXfs count="36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1" fillId="0" fontId="3" numFmtId="0" xfId="0" applyBorder="1" applyFont="1"/>
    <xf borderId="1" fillId="0" fontId="4" numFmtId="0" xfId="0" applyBorder="1" applyFont="1"/>
    <xf borderId="1" fillId="0" fontId="5" numFmtId="3" xfId="0" applyBorder="1" applyFont="1" applyNumberFormat="1"/>
    <xf borderId="0" fillId="0" fontId="4" numFmtId="0" xfId="0" applyFont="1"/>
    <xf borderId="0" fillId="0" fontId="1" numFmtId="0" xfId="0" applyAlignment="1" applyFont="1">
      <alignment vertical="center"/>
    </xf>
    <xf borderId="0" fillId="0" fontId="4" numFmtId="0" xfId="0" applyAlignment="1" applyFont="1">
      <alignment vertical="center"/>
    </xf>
    <xf borderId="0" fillId="0" fontId="6" numFmtId="0" xfId="0" applyAlignment="1" applyFont="1">
      <alignment vertical="top"/>
    </xf>
    <xf borderId="0" fillId="0" fontId="7" numFmtId="0" xfId="0" applyAlignment="1" applyFont="1">
      <alignment vertical="top"/>
    </xf>
    <xf borderId="0" fillId="0" fontId="8" numFmtId="0" xfId="0" applyFont="1"/>
    <xf borderId="2" fillId="2" fontId="6" numFmtId="0" xfId="0" applyAlignment="1" applyBorder="1" applyFill="1" applyFont="1">
      <alignment horizontal="center" vertical="center"/>
    </xf>
    <xf borderId="0" fillId="0" fontId="6" numFmtId="0" xfId="0" applyAlignment="1" applyFont="1">
      <alignment horizontal="center" vertical="center"/>
    </xf>
    <xf borderId="2" fillId="3" fontId="9" numFmtId="0" xfId="0" applyAlignment="1" applyBorder="1" applyFill="1" applyFont="1">
      <alignment horizontal="left" vertical="center"/>
    </xf>
    <xf borderId="2" fillId="3" fontId="10" numFmtId="4" xfId="0" applyAlignment="1" applyBorder="1" applyFont="1" applyNumberFormat="1">
      <alignment horizontal="center" vertical="center"/>
    </xf>
    <xf borderId="2" fillId="3" fontId="11" numFmtId="4" xfId="0" applyAlignment="1" applyBorder="1" applyFont="1" applyNumberFormat="1">
      <alignment horizontal="center" vertical="center"/>
    </xf>
    <xf borderId="3" fillId="0" fontId="8" numFmtId="0" xfId="0" applyBorder="1" applyFont="1"/>
    <xf borderId="4" fillId="4" fontId="12" numFmtId="4" xfId="0" applyAlignment="1" applyBorder="1" applyFill="1" applyFont="1" applyNumberFormat="1">
      <alignment horizontal="center" vertical="center"/>
    </xf>
    <xf borderId="5" fillId="0" fontId="3" numFmtId="0" xfId="0" applyBorder="1" applyFont="1"/>
    <xf borderId="0" fillId="0" fontId="13" numFmtId="0" xfId="0" applyAlignment="1" applyFont="1">
      <alignment horizontal="center"/>
    </xf>
    <xf borderId="6" fillId="0" fontId="3" numFmtId="0" xfId="0" applyBorder="1" applyFont="1"/>
    <xf borderId="7" fillId="0" fontId="3" numFmtId="0" xfId="0" applyBorder="1" applyFont="1"/>
    <xf borderId="0" fillId="0" fontId="13" numFmtId="0" xfId="0" applyAlignment="1" applyFont="1">
      <alignment horizontal="center" vertical="top"/>
    </xf>
    <xf borderId="2" fillId="3" fontId="11" numFmtId="3" xfId="0" applyAlignment="1" applyBorder="1" applyFont="1" applyNumberFormat="1">
      <alignment horizontal="center" vertical="center"/>
    </xf>
    <xf borderId="2" fillId="3" fontId="11" numFmtId="0" xfId="0" applyAlignment="1" applyBorder="1" applyFont="1">
      <alignment horizontal="center" vertical="center"/>
    </xf>
    <xf borderId="2" fillId="3" fontId="10" numFmtId="0" xfId="0" applyAlignment="1" applyBorder="1" applyFont="1">
      <alignment horizontal="center" vertical="center"/>
    </xf>
    <xf borderId="0" fillId="0" fontId="14" numFmtId="0" xfId="0" applyAlignment="1" applyFont="1">
      <alignment horizontal="left" vertical="center"/>
    </xf>
    <xf borderId="0" fillId="0" fontId="11" numFmtId="0" xfId="0" applyAlignment="1" applyFont="1">
      <alignment horizontal="left" vertical="center"/>
    </xf>
    <xf borderId="2" fillId="3" fontId="11" numFmtId="0" xfId="0" applyAlignment="1" applyBorder="1" applyFont="1">
      <alignment horizontal="center" readingOrder="1" vertical="center"/>
    </xf>
    <xf borderId="0" fillId="0" fontId="14" numFmtId="164" xfId="0" applyAlignment="1" applyFont="1" applyNumberFormat="1">
      <alignment horizontal="left" vertical="center"/>
    </xf>
    <xf borderId="2" fillId="3" fontId="11" numFmtId="164" xfId="0" applyAlignment="1" applyBorder="1" applyFont="1" applyNumberFormat="1">
      <alignment horizontal="center" vertical="center"/>
    </xf>
    <xf borderId="0" fillId="0" fontId="14" numFmtId="0" xfId="0" applyAlignment="1" applyFont="1">
      <alignment horizontal="center" vertical="center"/>
    </xf>
    <xf borderId="8" fillId="4" fontId="12" numFmtId="0" xfId="0" applyAlignment="1" applyBorder="1" applyFont="1">
      <alignment horizontal="center" vertical="center"/>
    </xf>
    <xf borderId="0" fillId="0" fontId="8" numFmtId="0" xfId="0" applyAlignment="1" applyFont="1">
      <alignment vertical="center"/>
    </xf>
    <xf borderId="2" fillId="2" fontId="6" numFmtId="0" xfId="0" applyAlignment="1" applyBorder="1" applyFont="1">
      <alignment horizontal="left" vertical="center"/>
    </xf>
    <xf borderId="2" fillId="2" fontId="4" numFmtId="0" xfId="0" applyAlignment="1" applyBorder="1" applyFont="1">
      <alignment shrinkToFit="0" vertical="center" wrapText="1"/>
    </xf>
    <xf borderId="2" fillId="5" fontId="6" numFmtId="0" xfId="0" applyAlignment="1" applyBorder="1" applyFill="1" applyFont="1">
      <alignment horizontal="left" vertical="center"/>
    </xf>
    <xf borderId="2" fillId="5" fontId="6" numFmtId="0" xfId="0" applyAlignment="1" applyBorder="1" applyFont="1">
      <alignment horizontal="center" vertical="center"/>
    </xf>
    <xf borderId="2" fillId="5" fontId="4" numFmtId="0" xfId="0" applyAlignment="1" applyBorder="1" applyFont="1">
      <alignment shrinkToFit="0" vertical="center" wrapText="1"/>
    </xf>
    <xf borderId="2" fillId="2" fontId="11" numFmtId="0" xfId="0" applyAlignment="1" applyBorder="1" applyFont="1">
      <alignment horizontal="center" vertical="center"/>
    </xf>
    <xf borderId="9" fillId="0" fontId="8" numFmtId="0" xfId="0" applyAlignment="1" applyBorder="1" applyFont="1">
      <alignment vertical="center"/>
    </xf>
    <xf borderId="10" fillId="6" fontId="12" numFmtId="0" xfId="0" applyAlignment="1" applyBorder="1" applyFill="1" applyFont="1">
      <alignment horizontal="center" shrinkToFit="0" vertical="center" wrapText="1"/>
    </xf>
    <xf borderId="2" fillId="5" fontId="11" numFmtId="0" xfId="0" applyAlignment="1" applyBorder="1" applyFont="1">
      <alignment horizontal="center" vertical="center"/>
    </xf>
    <xf borderId="11" fillId="0" fontId="3" numFmtId="0" xfId="0" applyBorder="1" applyFont="1"/>
    <xf borderId="12" fillId="2" fontId="11" numFmtId="0" xfId="0" applyAlignment="1" applyBorder="1" applyFont="1">
      <alignment horizontal="center" vertical="center"/>
    </xf>
    <xf borderId="13" fillId="2" fontId="11" numFmtId="0" xfId="0" applyAlignment="1" applyBorder="1" applyFont="1">
      <alignment horizontal="center" vertical="center"/>
    </xf>
    <xf borderId="14" fillId="2" fontId="11" numFmtId="0" xfId="0" applyAlignment="1" applyBorder="1" applyFont="1">
      <alignment horizontal="center" vertical="center"/>
    </xf>
    <xf borderId="15" fillId="3" fontId="9" numFmtId="0" xfId="0" applyAlignment="1" applyBorder="1" applyFont="1">
      <alignment horizontal="center" vertical="center"/>
    </xf>
    <xf borderId="15" fillId="3" fontId="9" numFmtId="165" xfId="0" applyAlignment="1" applyBorder="1" applyFont="1" applyNumberFormat="1">
      <alignment horizontal="center" vertical="center"/>
    </xf>
    <xf borderId="16" fillId="3" fontId="9" numFmtId="0" xfId="0" applyAlignment="1" applyBorder="1" applyFont="1">
      <alignment horizontal="center" vertical="center"/>
    </xf>
    <xf borderId="16" fillId="3" fontId="9" numFmtId="165" xfId="0" applyAlignment="1" applyBorder="1" applyFont="1" applyNumberFormat="1">
      <alignment horizontal="center" vertical="center"/>
    </xf>
    <xf borderId="0" fillId="0" fontId="15" numFmtId="0" xfId="0" applyAlignment="1" applyFont="1">
      <alignment vertical="top"/>
    </xf>
    <xf borderId="0" fillId="0" fontId="4" numFmtId="0" xfId="0" applyAlignment="1" applyFont="1">
      <alignment horizontal="center"/>
    </xf>
    <xf borderId="0" fillId="0" fontId="5" numFmtId="3" xfId="0" applyFont="1" applyNumberFormat="1"/>
    <xf borderId="0" fillId="0" fontId="16" numFmtId="0" xfId="0" applyAlignment="1" applyFont="1">
      <alignment horizontal="left" vertical="center"/>
    </xf>
    <xf borderId="0" fillId="0" fontId="17" numFmtId="0" xfId="0" applyAlignment="1" applyFont="1">
      <alignment horizontal="center" vertical="center"/>
    </xf>
    <xf borderId="0" fillId="0" fontId="1" numFmtId="0" xfId="0" applyAlignment="1" applyFont="1">
      <alignment horizontal="center" vertical="center"/>
    </xf>
    <xf borderId="17" fillId="4" fontId="18" numFmtId="0" xfId="0" applyAlignment="1" applyBorder="1" applyFont="1">
      <alignment horizontal="center" shrinkToFit="0" vertical="center" wrapText="1"/>
    </xf>
    <xf borderId="17" fillId="4" fontId="19" numFmtId="0" xfId="0" applyAlignment="1" applyBorder="1" applyFont="1">
      <alignment horizontal="center" shrinkToFit="0" vertical="center" wrapText="1"/>
    </xf>
    <xf borderId="3" fillId="0" fontId="4" numFmtId="0" xfId="0" applyAlignment="1" applyBorder="1" applyFont="1">
      <alignment vertical="center"/>
    </xf>
    <xf borderId="3" fillId="0" fontId="4" numFmtId="0" xfId="0" applyAlignment="1" applyBorder="1" applyFont="1">
      <alignment horizontal="center" vertical="center"/>
    </xf>
    <xf borderId="18" fillId="2" fontId="1" numFmtId="165" xfId="0" applyAlignment="1" applyBorder="1" applyFont="1" applyNumberFormat="1">
      <alignment horizontal="center" vertical="center"/>
    </xf>
    <xf borderId="0" fillId="0" fontId="20" numFmtId="0" xfId="0" applyAlignment="1" applyFont="1">
      <alignment horizontal="center"/>
    </xf>
    <xf borderId="19" fillId="0" fontId="4" numFmtId="0" xfId="0" applyAlignment="1" applyBorder="1" applyFont="1">
      <alignment vertical="center"/>
    </xf>
    <xf borderId="19" fillId="0" fontId="4" numFmtId="0" xfId="0" applyAlignment="1" applyBorder="1" applyFont="1">
      <alignment horizontal="center" vertical="center"/>
    </xf>
    <xf borderId="20" fillId="2" fontId="6" numFmtId="165" xfId="0" applyAlignment="1" applyBorder="1" applyFont="1" applyNumberFormat="1">
      <alignment horizontal="center" vertical="center"/>
    </xf>
    <xf borderId="21" fillId="0" fontId="3" numFmtId="0" xfId="0" applyBorder="1" applyFont="1"/>
    <xf borderId="3" fillId="0" fontId="4" numFmtId="0" xfId="0" applyAlignment="1" applyBorder="1" applyFont="1">
      <alignment horizontal="center"/>
    </xf>
    <xf borderId="0" fillId="0" fontId="13" numFmtId="0" xfId="0" applyFont="1"/>
    <xf borderId="20" fillId="2" fontId="17" numFmtId="165" xfId="0" applyAlignment="1" applyBorder="1" applyFont="1" applyNumberFormat="1">
      <alignment horizontal="center" vertical="center"/>
    </xf>
    <xf borderId="0" fillId="0" fontId="2" numFmtId="0" xfId="0" applyAlignment="1" applyFont="1">
      <alignment vertical="center"/>
    </xf>
    <xf borderId="0" fillId="0" fontId="6" numFmtId="0" xfId="0" applyAlignment="1" applyFont="1">
      <alignment horizontal="left" vertical="center"/>
    </xf>
    <xf borderId="0" fillId="0" fontId="21" numFmtId="3" xfId="0" applyFont="1" applyNumberFormat="1"/>
    <xf borderId="22" fillId="2" fontId="1" numFmtId="0" xfId="0" applyAlignment="1" applyBorder="1" applyFont="1">
      <alignment horizontal="center"/>
    </xf>
    <xf borderId="3" fillId="0" fontId="1" numFmtId="0" xfId="0" applyAlignment="1" applyBorder="1" applyFont="1">
      <alignment horizontal="center" vertical="center"/>
    </xf>
    <xf borderId="19" fillId="0" fontId="1" numFmtId="0" xfId="0" applyAlignment="1" applyBorder="1" applyFont="1">
      <alignment horizontal="center" vertical="center"/>
    </xf>
    <xf borderId="0" fillId="0" fontId="22" numFmtId="3" xfId="0" applyAlignment="1" applyFont="1" applyNumberFormat="1">
      <alignment horizontal="center" vertical="center"/>
    </xf>
    <xf borderId="2" fillId="6" fontId="22" numFmtId="165" xfId="0" applyAlignment="1" applyBorder="1" applyFont="1" applyNumberFormat="1">
      <alignment horizontal="center" vertical="center"/>
    </xf>
    <xf borderId="0" fillId="0" fontId="11" numFmtId="0" xfId="0" applyAlignment="1" applyFont="1">
      <alignment horizontal="center" vertical="center"/>
    </xf>
    <xf borderId="0" fillId="0" fontId="23" numFmtId="0" xfId="0" applyAlignment="1" applyFont="1">
      <alignment horizontal="center" shrinkToFit="0" vertical="center" wrapText="1"/>
    </xf>
    <xf borderId="0" fillId="0" fontId="24" numFmtId="0" xfId="0" applyAlignment="1" applyFont="1">
      <alignment vertical="center"/>
    </xf>
    <xf borderId="2" fillId="4" fontId="14" numFmtId="0" xfId="0" applyAlignment="1" applyBorder="1" applyFont="1">
      <alignment horizontal="center" vertical="center"/>
    </xf>
    <xf borderId="23" fillId="7" fontId="25" numFmtId="0" xfId="0" applyAlignment="1" applyBorder="1" applyFill="1" applyFont="1">
      <alignment horizontal="center" textRotation="90" vertical="center"/>
    </xf>
    <xf borderId="23" fillId="7" fontId="8" numFmtId="0" xfId="0" applyAlignment="1" applyBorder="1" applyFont="1">
      <alignment vertical="center"/>
    </xf>
    <xf borderId="23" fillId="7" fontId="4" numFmtId="0" xfId="0" applyAlignment="1" applyBorder="1" applyFont="1">
      <alignment shrinkToFit="0" vertical="center" wrapText="1"/>
    </xf>
    <xf borderId="23" fillId="7" fontId="4" numFmtId="0" xfId="0" applyAlignment="1" applyBorder="1" applyFont="1">
      <alignment horizontal="left" shrinkToFit="0" vertical="center" wrapText="1"/>
    </xf>
    <xf borderId="23" fillId="7" fontId="4" numFmtId="0" xfId="0" applyAlignment="1" applyBorder="1" applyFont="1">
      <alignment horizontal="center" shrinkToFit="0" vertical="center" wrapText="1"/>
    </xf>
    <xf borderId="24" fillId="0" fontId="4" numFmtId="0" xfId="0" applyAlignment="1" applyBorder="1" applyFont="1">
      <alignment horizontal="center" vertical="center"/>
    </xf>
    <xf borderId="24" fillId="0" fontId="4" numFmtId="164" xfId="0" applyAlignment="1" applyBorder="1" applyFont="1" applyNumberFormat="1">
      <alignment horizontal="center" vertical="center"/>
    </xf>
    <xf borderId="23" fillId="4" fontId="19" numFmtId="164" xfId="0" applyAlignment="1" applyBorder="1" applyFont="1" applyNumberFormat="1">
      <alignment horizontal="center" vertical="center"/>
    </xf>
    <xf borderId="2" fillId="7" fontId="25" numFmtId="0" xfId="0" applyAlignment="1" applyBorder="1" applyFont="1">
      <alignment horizontal="center" textRotation="90" vertical="center"/>
    </xf>
    <xf borderId="2" fillId="7" fontId="8" numFmtId="0" xfId="0" applyAlignment="1" applyBorder="1" applyFont="1">
      <alignment vertical="center"/>
    </xf>
    <xf borderId="2" fillId="7" fontId="4" numFmtId="0" xfId="0" applyAlignment="1" applyBorder="1" applyFont="1">
      <alignment shrinkToFit="0" vertical="center" wrapText="1"/>
    </xf>
    <xf borderId="2" fillId="7" fontId="4" numFmtId="0" xfId="0" applyAlignment="1" applyBorder="1" applyFont="1">
      <alignment horizontal="left" shrinkToFit="0" vertical="center" wrapText="1"/>
    </xf>
    <xf borderId="2" fillId="7" fontId="4" numFmtId="0" xfId="0" applyAlignment="1" applyBorder="1" applyFont="1">
      <alignment horizontal="center" shrinkToFit="0" vertical="center" wrapText="1"/>
    </xf>
    <xf borderId="0" fillId="0" fontId="4" numFmtId="0" xfId="0" applyAlignment="1" applyFont="1">
      <alignment horizontal="center" vertical="center"/>
    </xf>
    <xf borderId="0" fillId="0" fontId="4" numFmtId="164" xfId="0" applyAlignment="1" applyFont="1" applyNumberFormat="1">
      <alignment horizontal="center" vertical="center"/>
    </xf>
    <xf borderId="18" fillId="7" fontId="25" numFmtId="0" xfId="0" applyAlignment="1" applyBorder="1" applyFont="1">
      <alignment horizontal="center" textRotation="90" vertical="center"/>
    </xf>
    <xf borderId="18" fillId="7" fontId="8" numFmtId="0" xfId="0" applyAlignment="1" applyBorder="1" applyFont="1">
      <alignment vertical="center"/>
    </xf>
    <xf borderId="18" fillId="7" fontId="4" numFmtId="0" xfId="0" applyAlignment="1" applyBorder="1" applyFont="1">
      <alignment shrinkToFit="0" vertical="center" wrapText="1"/>
    </xf>
    <xf borderId="18" fillId="7" fontId="4" numFmtId="0" xfId="0" applyAlignment="1" applyBorder="1" applyFont="1">
      <alignment horizontal="left" shrinkToFit="0" vertical="center" wrapText="1"/>
    </xf>
    <xf borderId="18" fillId="7" fontId="4" numFmtId="0" xfId="0" applyAlignment="1" applyBorder="1" applyFont="1">
      <alignment horizontal="center" shrinkToFit="0" vertical="center" wrapText="1"/>
    </xf>
    <xf borderId="3" fillId="0" fontId="4" numFmtId="164" xfId="0" applyAlignment="1" applyBorder="1" applyFont="1" applyNumberFormat="1">
      <alignment horizontal="center" vertical="center"/>
    </xf>
    <xf borderId="25" fillId="3" fontId="25" numFmtId="0" xfId="0" applyAlignment="1" applyBorder="1" applyFont="1">
      <alignment horizontal="center" textRotation="90" vertical="center"/>
    </xf>
    <xf borderId="2" fillId="3" fontId="8" numFmtId="0" xfId="0" applyAlignment="1" applyBorder="1" applyFont="1">
      <alignment vertical="center"/>
    </xf>
    <xf borderId="2" fillId="3" fontId="4" numFmtId="0" xfId="0" applyAlignment="1" applyBorder="1" applyFont="1">
      <alignment shrinkToFit="0" vertical="center" wrapText="1"/>
    </xf>
    <xf borderId="2" fillId="3" fontId="4" numFmtId="0" xfId="0" applyAlignment="1" applyBorder="1" applyFont="1">
      <alignment horizontal="left" shrinkToFit="0" vertical="center" wrapText="1"/>
    </xf>
    <xf borderId="2" fillId="3" fontId="4" numFmtId="0" xfId="0" applyAlignment="1" applyBorder="1" applyFont="1">
      <alignment horizontal="center" shrinkToFit="0" vertical="center" wrapText="1"/>
    </xf>
    <xf borderId="2" fillId="3" fontId="4" numFmtId="0" xfId="0" applyAlignment="1" applyBorder="1" applyFont="1">
      <alignment horizontal="center" vertical="center"/>
    </xf>
    <xf borderId="2" fillId="3" fontId="4" numFmtId="164" xfId="0" applyAlignment="1" applyBorder="1" applyFont="1" applyNumberFormat="1">
      <alignment horizontal="center" vertical="center"/>
    </xf>
    <xf borderId="2" fillId="3" fontId="4" numFmtId="3" xfId="0" applyAlignment="1" applyBorder="1" applyFont="1" applyNumberFormat="1">
      <alignment horizontal="center" vertical="center"/>
    </xf>
    <xf borderId="26" fillId="3" fontId="25" numFmtId="0" xfId="0" applyAlignment="1" applyBorder="1" applyFont="1">
      <alignment horizontal="center" textRotation="90" vertical="center"/>
    </xf>
    <xf borderId="2" fillId="2" fontId="1" numFmtId="0" xfId="0" applyAlignment="1" applyBorder="1" applyFont="1">
      <alignment horizontal="center" vertical="center"/>
    </xf>
    <xf borderId="0" fillId="0" fontId="8" numFmtId="0" xfId="0" applyAlignment="1" applyFont="1">
      <alignment horizontal="center"/>
    </xf>
    <xf borderId="0" fillId="0" fontId="15" numFmtId="0" xfId="0" applyAlignment="1" applyFont="1">
      <alignment shrinkToFit="0" vertical="top" wrapText="1"/>
    </xf>
    <xf borderId="2" fillId="8" fontId="8" numFmtId="0" xfId="0" applyAlignment="1" applyBorder="1" applyFill="1" applyFont="1">
      <alignment vertical="center"/>
    </xf>
    <xf borderId="2" fillId="9" fontId="8" numFmtId="0" xfId="0" applyAlignment="1" applyBorder="1" applyFill="1" applyFont="1">
      <alignment vertical="center"/>
    </xf>
    <xf borderId="2" fillId="10" fontId="24" numFmtId="165" xfId="0" applyAlignment="1" applyBorder="1" applyFill="1" applyFont="1" applyNumberFormat="1">
      <alignment vertical="center"/>
    </xf>
    <xf borderId="2" fillId="10" fontId="24" numFmtId="0" xfId="0" applyAlignment="1" applyBorder="1" applyFont="1">
      <alignment vertical="center"/>
    </xf>
    <xf borderId="2" fillId="8" fontId="26" numFmtId="3" xfId="0" applyAlignment="1" applyBorder="1" applyFont="1" applyNumberFormat="1">
      <alignment vertical="center"/>
    </xf>
    <xf borderId="2" fillId="8" fontId="8" numFmtId="3" xfId="0" applyAlignment="1" applyBorder="1" applyFont="1" applyNumberFormat="1">
      <alignment vertical="center"/>
    </xf>
    <xf borderId="0" fillId="0" fontId="8" numFmtId="3" xfId="0" applyFont="1" applyNumberFormat="1"/>
    <xf borderId="2" fillId="9" fontId="8" numFmtId="3" xfId="0" applyAlignment="1" applyBorder="1" applyFont="1" applyNumberFormat="1">
      <alignment vertical="center"/>
    </xf>
    <xf borderId="0" fillId="0" fontId="8" numFmtId="165" xfId="0" applyFont="1" applyNumberFormat="1"/>
    <xf borderId="0" fillId="0" fontId="8" numFmtId="4" xfId="0" applyAlignment="1" applyFont="1" applyNumberFormat="1">
      <alignment horizontal="center"/>
    </xf>
    <xf borderId="9" fillId="0" fontId="8" numFmtId="4" xfId="0" applyAlignment="1" applyBorder="1" applyFont="1" applyNumberFormat="1">
      <alignment horizontal="center"/>
    </xf>
    <xf borderId="9" fillId="0" fontId="8" numFmtId="0" xfId="0" applyBorder="1" applyFont="1"/>
    <xf borderId="27" fillId="0" fontId="8" numFmtId="4" xfId="0" applyAlignment="1" applyBorder="1" applyFont="1" applyNumberFormat="1">
      <alignment horizontal="center"/>
    </xf>
    <xf borderId="27" fillId="0" fontId="8" numFmtId="0" xfId="0" applyBorder="1" applyFont="1"/>
    <xf borderId="0" fillId="0" fontId="27" numFmtId="0" xfId="0" applyAlignment="1" applyFont="1">
      <alignment vertical="center"/>
    </xf>
    <xf borderId="12" fillId="6" fontId="14" numFmtId="0" xfId="0" applyAlignment="1" applyBorder="1" applyFont="1">
      <alignment horizontal="center" vertical="center"/>
    </xf>
    <xf borderId="14" fillId="6" fontId="14" numFmtId="0" xfId="0" applyAlignment="1" applyBorder="1" applyFont="1">
      <alignment horizontal="left" vertical="center"/>
    </xf>
    <xf borderId="14" fillId="3" fontId="11" numFmtId="0" xfId="0" applyAlignment="1" applyBorder="1" applyFont="1">
      <alignment horizontal="center" vertical="center"/>
    </xf>
    <xf borderId="0" fillId="0" fontId="6" numFmtId="0" xfId="0" applyAlignment="1" applyFont="1">
      <alignment vertical="center"/>
    </xf>
    <xf borderId="0" fillId="0" fontId="9" numFmtId="0" xfId="0" applyFont="1"/>
    <xf borderId="0" fillId="0" fontId="28" numFmtId="0" xfId="0" applyAlignment="1" applyFont="1">
      <alignment vertical="center"/>
    </xf>
    <xf borderId="0" fillId="0" fontId="29" numFmtId="0" xfId="0" applyAlignment="1" applyFont="1">
      <alignment vertical="center"/>
    </xf>
    <xf borderId="14" fillId="3" fontId="11" numFmtId="14" xfId="0" applyAlignment="1" applyBorder="1" applyFont="1" applyNumberFormat="1">
      <alignment horizontal="center" vertical="center"/>
    </xf>
    <xf borderId="0" fillId="0" fontId="8" numFmtId="0" xfId="0" applyAlignment="1" applyFont="1">
      <alignment horizontal="right" vertical="center"/>
    </xf>
    <xf borderId="0" fillId="0" fontId="6" numFmtId="0" xfId="0" applyAlignment="1" applyFont="1">
      <alignment shrinkToFit="0" vertical="center" wrapText="1"/>
    </xf>
    <xf borderId="0" fillId="0" fontId="28" numFmtId="0" xfId="0" applyAlignment="1" applyFont="1">
      <alignment horizontal="left" vertical="center"/>
    </xf>
    <xf borderId="28" fillId="3" fontId="4" numFmtId="0" xfId="0" applyBorder="1" applyFont="1"/>
    <xf borderId="29" fillId="3" fontId="6" numFmtId="0" xfId="0" applyAlignment="1" applyBorder="1" applyFont="1">
      <alignment vertical="center"/>
    </xf>
    <xf borderId="29" fillId="3" fontId="8" numFmtId="0" xfId="0" applyAlignment="1" applyBorder="1" applyFont="1">
      <alignment vertical="center"/>
    </xf>
    <xf borderId="30" fillId="3" fontId="8" numFmtId="0" xfId="0" applyAlignment="1" applyBorder="1" applyFont="1">
      <alignment vertical="center"/>
    </xf>
    <xf borderId="31" fillId="3" fontId="4" numFmtId="0" xfId="0" applyBorder="1" applyFont="1"/>
    <xf borderId="32" fillId="3" fontId="9" numFmtId="0" xfId="0" applyAlignment="1" applyBorder="1" applyFont="1">
      <alignment horizontal="left" shrinkToFit="0" vertical="center" wrapText="1"/>
    </xf>
    <xf borderId="33" fillId="3" fontId="9" numFmtId="0" xfId="0" applyAlignment="1" applyBorder="1" applyFont="1">
      <alignment shrinkToFit="0" vertical="center" wrapText="1"/>
    </xf>
    <xf borderId="34" fillId="0" fontId="3" numFmtId="0" xfId="0" applyBorder="1" applyFont="1"/>
    <xf borderId="35" fillId="0" fontId="3" numFmtId="0" xfId="0" applyBorder="1" applyFont="1"/>
    <xf borderId="36" fillId="3" fontId="9" numFmtId="0" xfId="0" applyAlignment="1" applyBorder="1" applyFont="1">
      <alignment shrinkToFit="0" vertical="center" wrapText="1"/>
    </xf>
    <xf borderId="33" fillId="3" fontId="9" numFmtId="0" xfId="0" applyAlignment="1" applyBorder="1" applyFont="1">
      <alignment shrinkToFit="0" vertical="top" wrapText="1"/>
    </xf>
    <xf borderId="37" fillId="0" fontId="4" numFmtId="0" xfId="0" applyBorder="1" applyFont="1"/>
    <xf borderId="38" fillId="0" fontId="6" numFmtId="0" xfId="0" applyAlignment="1" applyBorder="1" applyFont="1">
      <alignment vertical="center"/>
    </xf>
    <xf borderId="38" fillId="0" fontId="3" numFmtId="0" xfId="0" applyBorder="1" applyFont="1"/>
    <xf borderId="39" fillId="0" fontId="4" numFmtId="0" xfId="0" applyBorder="1" applyFont="1"/>
    <xf borderId="40" fillId="0" fontId="4" numFmtId="0" xfId="0" applyBorder="1" applyFont="1"/>
    <xf borderId="0" fillId="0" fontId="30" numFmtId="0" xfId="0" applyAlignment="1" applyFont="1">
      <alignment vertical="top"/>
    </xf>
    <xf borderId="0" fillId="0" fontId="29" numFmtId="0" xfId="0" applyAlignment="1" applyFont="1">
      <alignment vertical="top"/>
    </xf>
    <xf borderId="0" fillId="0" fontId="30" numFmtId="3" xfId="0" applyAlignment="1" applyFont="1" applyNumberFormat="1">
      <alignment horizontal="right" vertical="top"/>
    </xf>
    <xf borderId="41" fillId="0" fontId="4" numFmtId="0" xfId="0" applyBorder="1" applyFont="1"/>
    <xf borderId="0" fillId="0" fontId="31" numFmtId="3" xfId="0" applyAlignment="1" applyFont="1" applyNumberFormat="1">
      <alignment horizontal="right" vertical="top"/>
    </xf>
    <xf borderId="42" fillId="0" fontId="4" numFmtId="0" xfId="0" applyBorder="1" applyFont="1"/>
    <xf borderId="43" fillId="0" fontId="30" numFmtId="0" xfId="0" applyAlignment="1" applyBorder="1" applyFont="1">
      <alignment vertical="top"/>
    </xf>
    <xf borderId="43" fillId="0" fontId="29" numFmtId="0" xfId="0" applyAlignment="1" applyBorder="1" applyFont="1">
      <alignment vertical="top"/>
    </xf>
    <xf borderId="43" fillId="0" fontId="30" numFmtId="166" xfId="0" applyAlignment="1" applyBorder="1" applyFont="1" applyNumberFormat="1">
      <alignment horizontal="right" vertical="top"/>
    </xf>
    <xf borderId="44" fillId="0" fontId="4" numFmtId="0" xfId="0" applyBorder="1" applyFont="1"/>
    <xf borderId="0" fillId="0" fontId="32" numFmtId="0" xfId="0" applyFont="1"/>
    <xf borderId="0" fillId="0" fontId="32" numFmtId="167" xfId="0" applyAlignment="1" applyFont="1" applyNumberFormat="1">
      <alignment horizontal="right"/>
    </xf>
    <xf borderId="0" fillId="0" fontId="30" numFmtId="0" xfId="0" applyFont="1"/>
    <xf borderId="0" fillId="0" fontId="29" numFmtId="0" xfId="0" applyFont="1"/>
    <xf borderId="0" fillId="0" fontId="30" numFmtId="167" xfId="0" applyAlignment="1" applyFont="1" applyNumberFormat="1">
      <alignment horizontal="right"/>
    </xf>
    <xf borderId="0" fillId="0" fontId="33" numFmtId="0" xfId="0" applyAlignment="1" applyFont="1">
      <alignment vertical="center"/>
    </xf>
    <xf borderId="0" fillId="0" fontId="33" numFmtId="168" xfId="0" applyAlignment="1" applyFont="1" applyNumberFormat="1">
      <alignment horizontal="right" vertical="center"/>
    </xf>
    <xf borderId="0" fillId="0" fontId="32" numFmtId="0" xfId="0" applyAlignment="1" applyFont="1">
      <alignment vertical="center"/>
    </xf>
    <xf borderId="0" fillId="0" fontId="30" numFmtId="167" xfId="0" applyAlignment="1" applyFont="1" applyNumberFormat="1">
      <alignment horizontal="right" vertical="center"/>
    </xf>
    <xf borderId="43" fillId="0" fontId="9" numFmtId="0" xfId="0" applyAlignment="1" applyBorder="1" applyFont="1">
      <alignment shrinkToFit="0" vertical="top" wrapText="1"/>
    </xf>
    <xf borderId="43" fillId="0" fontId="3" numFmtId="0" xfId="0" applyBorder="1" applyFont="1"/>
    <xf borderId="0" fillId="0" fontId="11" numFmtId="0" xfId="0" applyAlignment="1" applyFont="1">
      <alignment horizontal="center"/>
    </xf>
    <xf borderId="0" fillId="0" fontId="27" numFmtId="0" xfId="0" applyAlignment="1" applyFont="1">
      <alignment vertical="top"/>
    </xf>
    <xf borderId="45" fillId="6" fontId="12" numFmtId="0" xfId="0" applyAlignment="1" applyBorder="1" applyFont="1">
      <alignment horizontal="center" vertical="center"/>
    </xf>
    <xf borderId="46" fillId="0" fontId="3" numFmtId="0" xfId="0" applyBorder="1" applyFont="1"/>
    <xf borderId="47" fillId="0" fontId="3" numFmtId="0" xfId="0" applyBorder="1" applyFont="1"/>
    <xf borderId="0" fillId="0" fontId="6" numFmtId="166" xfId="0" applyAlignment="1" applyFont="1" applyNumberFormat="1">
      <alignment horizontal="center" vertical="center"/>
    </xf>
    <xf borderId="29" fillId="3" fontId="30" numFmtId="0" xfId="0" applyAlignment="1" applyBorder="1" applyFont="1">
      <alignment horizontal="left" vertical="center"/>
    </xf>
    <xf borderId="29" fillId="3" fontId="30" numFmtId="0" xfId="0" applyAlignment="1" applyBorder="1" applyFont="1">
      <alignment horizontal="center" vertical="center"/>
    </xf>
    <xf borderId="29" fillId="3" fontId="1" numFmtId="0" xfId="0" applyAlignment="1" applyBorder="1" applyFont="1">
      <alignment horizontal="center" shrinkToFit="0" vertical="center" wrapText="1"/>
    </xf>
    <xf borderId="29" fillId="3" fontId="30" numFmtId="3" xfId="0" applyAlignment="1" applyBorder="1" applyFont="1" applyNumberFormat="1">
      <alignment horizontal="right" vertical="center"/>
    </xf>
    <xf borderId="30" fillId="3" fontId="4" numFmtId="0" xfId="0" applyBorder="1" applyFont="1"/>
    <xf borderId="48" fillId="3" fontId="4" numFmtId="0" xfId="0" applyBorder="1" applyFont="1"/>
    <xf borderId="2" fillId="3" fontId="30" numFmtId="0" xfId="0" applyAlignment="1" applyBorder="1" applyFont="1">
      <alignment horizontal="left" vertical="center"/>
    </xf>
    <xf borderId="2" fillId="3" fontId="30" numFmtId="0" xfId="0" applyAlignment="1" applyBorder="1" applyFont="1">
      <alignment horizontal="center" vertical="center"/>
    </xf>
    <xf borderId="2" fillId="3" fontId="1" numFmtId="0" xfId="0" applyAlignment="1" applyBorder="1" applyFont="1">
      <alignment horizontal="center" shrinkToFit="0" vertical="center" wrapText="1"/>
    </xf>
    <xf borderId="2" fillId="3" fontId="30" numFmtId="3" xfId="0" applyAlignment="1" applyBorder="1" applyFont="1" applyNumberFormat="1">
      <alignment horizontal="right" vertical="center"/>
    </xf>
    <xf borderId="49" fillId="3" fontId="4" numFmtId="0" xfId="0" applyBorder="1" applyFont="1"/>
    <xf borderId="32" fillId="3" fontId="30" numFmtId="0" xfId="0" applyAlignment="1" applyBorder="1" applyFont="1">
      <alignment horizontal="left" vertical="center"/>
    </xf>
    <xf borderId="32" fillId="3" fontId="4" numFmtId="0" xfId="0" applyBorder="1" applyFont="1"/>
    <xf borderId="32" fillId="3" fontId="1" numFmtId="0" xfId="0" applyAlignment="1" applyBorder="1" applyFont="1">
      <alignment horizontal="center" vertical="center"/>
    </xf>
    <xf borderId="32" fillId="3" fontId="30" numFmtId="3" xfId="0" applyAlignment="1" applyBorder="1" applyFont="1" applyNumberFormat="1">
      <alignment horizontal="right" vertical="center"/>
    </xf>
    <xf borderId="36" fillId="3" fontId="4" numFmtId="0" xfId="0" applyBorder="1" applyFont="1"/>
    <xf borderId="50" fillId="6" fontId="12" numFmtId="0" xfId="0" applyAlignment="1" applyBorder="1" applyFont="1">
      <alignment horizontal="center" vertical="center"/>
    </xf>
    <xf borderId="51" fillId="0" fontId="3" numFmtId="0" xfId="0" applyBorder="1" applyFont="1"/>
    <xf borderId="52" fillId="0" fontId="3" numFmtId="0" xfId="0" applyBorder="1" applyFont="1"/>
    <xf borderId="29" fillId="3" fontId="1" numFmtId="0" xfId="0" applyAlignment="1" applyBorder="1" applyFont="1">
      <alignment horizontal="center" vertical="center"/>
    </xf>
    <xf borderId="2" fillId="3" fontId="1" numFmtId="0" xfId="0" applyAlignment="1" applyBorder="1" applyFont="1">
      <alignment horizontal="center" vertical="center"/>
    </xf>
    <xf borderId="0" fillId="0" fontId="4" numFmtId="3" xfId="0" applyAlignment="1" applyFont="1" applyNumberFormat="1">
      <alignment vertical="center"/>
    </xf>
    <xf borderId="2" fillId="3" fontId="4" numFmtId="0" xfId="0" applyBorder="1" applyFont="1"/>
    <xf borderId="0" fillId="0" fontId="34" numFmtId="0" xfId="0" applyAlignment="1" applyFont="1">
      <alignment horizontal="right" vertical="top"/>
    </xf>
    <xf borderId="0" fillId="0" fontId="34" numFmtId="0" xfId="0" applyAlignment="1" applyFont="1">
      <alignment shrinkToFit="0" vertical="top" wrapText="1"/>
    </xf>
    <xf borderId="0" fillId="0" fontId="29" numFmtId="0" xfId="0" applyAlignment="1" applyFont="1">
      <alignment horizontal="center" vertical="top"/>
    </xf>
    <xf borderId="0" fillId="0" fontId="29" numFmtId="0" xfId="0" applyAlignment="1" applyFont="1">
      <alignment shrinkToFit="0" vertical="top" wrapText="1"/>
    </xf>
    <xf borderId="0" fillId="0" fontId="8" numFmtId="0" xfId="0" applyAlignment="1" applyFont="1">
      <alignment vertical="top"/>
    </xf>
    <xf borderId="0" fillId="0" fontId="35" numFmtId="0" xfId="0" applyFont="1"/>
    <xf borderId="53" fillId="0" fontId="36" numFmtId="0" xfId="0" applyAlignment="1" applyBorder="1" applyFont="1">
      <alignment horizontal="center" vertical="center"/>
    </xf>
    <xf borderId="53" fillId="0" fontId="3" numFmtId="0" xfId="0" applyBorder="1" applyFont="1"/>
    <xf borderId="54" fillId="6" fontId="4" numFmtId="0" xfId="0" applyBorder="1" applyFont="1"/>
    <xf borderId="55" fillId="6" fontId="37" numFmtId="0" xfId="0" applyAlignment="1" applyBorder="1" applyFont="1">
      <alignment vertical="center"/>
    </xf>
    <xf borderId="56" fillId="0" fontId="33" numFmtId="0" xfId="0" applyAlignment="1" applyBorder="1" applyFont="1">
      <alignment horizontal="center" vertical="center"/>
    </xf>
    <xf borderId="56" fillId="0" fontId="33" numFmtId="14" xfId="0" applyAlignment="1" applyBorder="1" applyFont="1" applyNumberFormat="1">
      <alignment horizontal="center" vertical="center"/>
    </xf>
    <xf borderId="0" fillId="0" fontId="33" numFmtId="0" xfId="0" applyAlignment="1" applyFont="1">
      <alignment shrinkToFit="0" vertical="center" wrapText="1"/>
    </xf>
    <xf borderId="57" fillId="0" fontId="4" numFmtId="0" xfId="0" applyBorder="1" applyFont="1"/>
    <xf borderId="58" fillId="0" fontId="33" numFmtId="0" xfId="0" applyAlignment="1" applyBorder="1" applyFont="1">
      <alignment vertical="center"/>
    </xf>
    <xf borderId="58" fillId="0" fontId="8" numFmtId="0" xfId="0" applyAlignment="1" applyBorder="1" applyFont="1">
      <alignment vertical="center"/>
    </xf>
    <xf borderId="59" fillId="0" fontId="8" numFmtId="0" xfId="0" applyAlignment="1" applyBorder="1" applyFont="1">
      <alignment vertical="center"/>
    </xf>
    <xf borderId="60" fillId="0" fontId="4" numFmtId="0" xfId="0" applyBorder="1" applyFont="1"/>
    <xf borderId="9" fillId="0" fontId="9" numFmtId="0" xfId="0" applyAlignment="1" applyBorder="1" applyFont="1">
      <alignment horizontal="left" shrinkToFit="0" vertical="center" wrapText="1"/>
    </xf>
    <xf borderId="9" fillId="0" fontId="9" numFmtId="0" xfId="0" applyAlignment="1" applyBorder="1" applyFont="1">
      <alignment shrinkToFit="0" vertical="center" wrapText="1"/>
    </xf>
    <xf borderId="9" fillId="0" fontId="3" numFmtId="0" xfId="0" applyBorder="1" applyFont="1"/>
    <xf borderId="61" fillId="0" fontId="9" numFmtId="0" xfId="0" applyAlignment="1" applyBorder="1" applyFont="1">
      <alignment shrinkToFit="0" vertical="center" wrapText="1"/>
    </xf>
    <xf borderId="9" fillId="0" fontId="9" numFmtId="0" xfId="0" applyAlignment="1" applyBorder="1" applyFont="1">
      <alignment shrinkToFit="0" vertical="top" wrapText="1"/>
    </xf>
    <xf borderId="58" fillId="0" fontId="33" numFmtId="166" xfId="0" applyAlignment="1" applyBorder="1" applyFont="1" applyNumberFormat="1">
      <alignment horizontal="right" vertical="center"/>
    </xf>
    <xf borderId="9" fillId="0" fontId="33" numFmtId="0" xfId="0" applyAlignment="1" applyBorder="1" applyFont="1">
      <alignment vertical="center"/>
    </xf>
    <xf borderId="9" fillId="0" fontId="33" numFmtId="3" xfId="0" applyAlignment="1" applyBorder="1" applyFont="1" applyNumberFormat="1">
      <alignment horizontal="right" vertical="center"/>
    </xf>
    <xf borderId="9" fillId="0" fontId="33" numFmtId="166" xfId="0" applyAlignment="1" applyBorder="1" applyFont="1" applyNumberFormat="1">
      <alignment horizontal="right" vertical="center"/>
    </xf>
    <xf borderId="9" fillId="0" fontId="4" numFmtId="0" xfId="0" applyAlignment="1" applyBorder="1" applyFont="1">
      <alignment shrinkToFit="0" vertical="top" wrapText="1"/>
    </xf>
    <xf borderId="57" fillId="0" fontId="30" numFmtId="0" xfId="0" applyAlignment="1" applyBorder="1" applyFont="1">
      <alignment horizontal="left" vertical="center"/>
    </xf>
    <xf borderId="58" fillId="0" fontId="30" numFmtId="0" xfId="0" applyAlignment="1" applyBorder="1" applyFont="1">
      <alignment horizontal="center" vertical="center"/>
    </xf>
    <xf borderId="58" fillId="0" fontId="1" numFmtId="0" xfId="0" applyAlignment="1" applyBorder="1" applyFont="1">
      <alignment horizontal="center" shrinkToFit="0" vertical="center" wrapText="1"/>
    </xf>
    <xf borderId="59" fillId="0" fontId="30" numFmtId="3" xfId="0" applyAlignment="1" applyBorder="1" applyFont="1" applyNumberFormat="1">
      <alignment horizontal="center" vertical="center"/>
    </xf>
    <xf borderId="62" fillId="0" fontId="30" numFmtId="0" xfId="0" applyAlignment="1" applyBorder="1" applyFont="1">
      <alignment horizontal="left" vertical="center"/>
    </xf>
    <xf borderId="0" fillId="0" fontId="30" numFmtId="0" xfId="0" applyAlignment="1" applyFont="1">
      <alignment horizontal="center" vertical="center"/>
    </xf>
    <xf borderId="0" fillId="0" fontId="1" numFmtId="0" xfId="0" applyAlignment="1" applyFont="1">
      <alignment horizontal="center" shrinkToFit="0" vertical="center" wrapText="1"/>
    </xf>
    <xf borderId="63" fillId="0" fontId="30" numFmtId="3" xfId="0" applyAlignment="1" applyBorder="1" applyFont="1" applyNumberFormat="1">
      <alignment horizontal="center" vertical="center"/>
    </xf>
    <xf borderId="60" fillId="0" fontId="30" numFmtId="0" xfId="0" applyAlignment="1" applyBorder="1" applyFont="1">
      <alignment horizontal="left" vertical="center"/>
    </xf>
    <xf borderId="9" fillId="0" fontId="4" numFmtId="0" xfId="0" applyBorder="1" applyFont="1"/>
    <xf borderId="9" fillId="0" fontId="1" numFmtId="0" xfId="0" applyAlignment="1" applyBorder="1" applyFont="1">
      <alignment horizontal="center" vertical="center"/>
    </xf>
    <xf borderId="61" fillId="0" fontId="30" numFmtId="3" xfId="0" applyAlignment="1" applyBorder="1" applyFont="1" applyNumberFormat="1">
      <alignment horizontal="center" vertical="center"/>
    </xf>
    <xf borderId="58" fillId="0" fontId="4" numFmtId="0" xfId="0" applyAlignment="1" applyBorder="1" applyFont="1">
      <alignment horizontal="center" vertical="center"/>
    </xf>
    <xf borderId="9" fillId="0" fontId="4" numFmtId="0" xfId="0" applyAlignment="1" applyBorder="1" applyFont="1">
      <alignment horizontal="center" vertical="center"/>
    </xf>
    <xf borderId="0" fillId="0" fontId="6" numFmtId="168" xfId="0" applyAlignment="1" applyFont="1" applyNumberFormat="1">
      <alignment horizontal="center" vertical="center"/>
    </xf>
    <xf borderId="0" fillId="0" fontId="38" numFmtId="0" xfId="0" applyAlignment="1" applyFont="1">
      <alignment horizontal="right" vertical="top"/>
    </xf>
    <xf borderId="0" fillId="0" fontId="38" numFmtId="0" xfId="0" applyFont="1"/>
    <xf borderId="53" fillId="0" fontId="30" numFmtId="0" xfId="0" applyAlignment="1" applyBorder="1" applyFont="1">
      <alignment horizontal="center" vertical="center"/>
    </xf>
    <xf borderId="0" fillId="0" fontId="2" numFmtId="0" xfId="0" applyAlignment="1" applyFont="1">
      <alignment shrinkToFit="0" wrapText="1"/>
    </xf>
    <xf borderId="0" fillId="0" fontId="4" numFmtId="0" xfId="0" applyAlignment="1" applyFont="1">
      <alignment horizontal="left" vertical="top"/>
    </xf>
    <xf borderId="64" fillId="6" fontId="14" numFmtId="0" xfId="0" applyAlignment="1" applyBorder="1" applyFont="1">
      <alignment horizontal="center" vertical="center"/>
    </xf>
    <xf borderId="65" fillId="0" fontId="3" numFmtId="0" xfId="0" applyBorder="1" applyFont="1"/>
    <xf borderId="64" fillId="3" fontId="23" numFmtId="0" xfId="0" applyAlignment="1" applyBorder="1" applyFont="1">
      <alignment horizontal="center" vertical="center"/>
    </xf>
    <xf borderId="64" fillId="5" fontId="23" numFmtId="0" xfId="0" applyAlignment="1" applyBorder="1" applyFont="1">
      <alignment horizontal="center" vertical="center"/>
    </xf>
    <xf borderId="0" fillId="0" fontId="39" numFmtId="0" xfId="0" applyAlignment="1" applyFont="1">
      <alignment horizontal="center" vertical="center"/>
    </xf>
    <xf borderId="0" fillId="0" fontId="40" numFmtId="0" xfId="0" applyAlignment="1" applyFont="1">
      <alignment horizontal="center" vertical="center"/>
    </xf>
    <xf borderId="64" fillId="3" fontId="41" numFmtId="165" xfId="0" applyAlignment="1" applyBorder="1" applyFont="1" applyNumberFormat="1">
      <alignment horizontal="center" vertical="center"/>
    </xf>
    <xf borderId="64" fillId="11" fontId="41" numFmtId="165" xfId="0" applyAlignment="1" applyBorder="1" applyFill="1" applyFont="1" applyNumberFormat="1">
      <alignment horizontal="center" vertical="center"/>
    </xf>
    <xf borderId="64" fillId="12" fontId="41" numFmtId="165" xfId="0" applyAlignment="1" applyBorder="1" applyFill="1" applyFont="1" applyNumberFormat="1">
      <alignment horizontal="center" vertical="center"/>
    </xf>
    <xf borderId="64" fillId="13" fontId="41" numFmtId="165" xfId="0" applyAlignment="1" applyBorder="1" applyFill="1" applyFont="1" applyNumberFormat="1">
      <alignment horizontal="center" vertical="center"/>
    </xf>
    <xf borderId="64" fillId="3" fontId="42" numFmtId="0" xfId="0" applyAlignment="1" applyBorder="1" applyFont="1">
      <alignment horizontal="center" vertical="center"/>
    </xf>
    <xf borderId="64" fillId="11" fontId="42" numFmtId="0" xfId="0" applyAlignment="1" applyBorder="1" applyFont="1">
      <alignment horizontal="center" vertical="center"/>
    </xf>
    <xf borderId="64" fillId="12" fontId="42" numFmtId="0" xfId="0" applyAlignment="1" applyBorder="1" applyFont="1">
      <alignment horizontal="center" vertical="center"/>
    </xf>
    <xf borderId="64" fillId="13" fontId="42" numFmtId="0" xfId="0" applyAlignment="1" applyBorder="1" applyFont="1">
      <alignment horizontal="center" vertical="center"/>
    </xf>
    <xf borderId="66" fillId="0" fontId="8" numFmtId="0" xfId="0" applyBorder="1" applyFont="1"/>
    <xf borderId="0" fillId="0" fontId="43" numFmtId="0" xfId="0" applyAlignment="1" applyFont="1">
      <alignment vertical="center"/>
    </xf>
    <xf borderId="64" fillId="3" fontId="25" numFmtId="0" xfId="0" applyAlignment="1" applyBorder="1" applyFont="1">
      <alignment vertical="center"/>
    </xf>
    <xf borderId="64" fillId="5" fontId="1" numFmtId="0" xfId="0" applyAlignment="1" applyBorder="1" applyFont="1">
      <alignment vertical="center"/>
    </xf>
    <xf borderId="64" fillId="11" fontId="1" numFmtId="0" xfId="0" applyAlignment="1" applyBorder="1" applyFont="1">
      <alignment vertical="center"/>
    </xf>
    <xf borderId="64" fillId="12" fontId="1" numFmtId="0" xfId="0" applyAlignment="1" applyBorder="1" applyFont="1">
      <alignment vertical="center"/>
    </xf>
    <xf borderId="64" fillId="13" fontId="1" numFmtId="0" xfId="0" applyAlignment="1" applyBorder="1" applyFont="1">
      <alignment vertical="center"/>
    </xf>
    <xf borderId="2" fillId="3" fontId="25" numFmtId="0" xfId="0" applyAlignment="1" applyBorder="1" applyFont="1">
      <alignment horizontal="right" vertical="center"/>
    </xf>
    <xf borderId="2" fillId="3" fontId="44" numFmtId="0" xfId="0" applyAlignment="1" applyBorder="1" applyFont="1">
      <alignment vertical="center"/>
    </xf>
    <xf borderId="2" fillId="5" fontId="25" numFmtId="0" xfId="0" applyAlignment="1" applyBorder="1" applyFont="1">
      <alignment horizontal="right" vertical="center"/>
    </xf>
    <xf borderId="2" fillId="5" fontId="4" numFmtId="0" xfId="0" applyAlignment="1" applyBorder="1" applyFont="1">
      <alignment vertical="center"/>
    </xf>
    <xf borderId="2" fillId="11" fontId="1" numFmtId="0" xfId="0" applyAlignment="1" applyBorder="1" applyFont="1">
      <alignment horizontal="right" vertical="center"/>
    </xf>
    <xf borderId="2" fillId="11" fontId="4" numFmtId="0" xfId="0" applyAlignment="1" applyBorder="1" applyFont="1">
      <alignment vertical="center"/>
    </xf>
    <xf borderId="2" fillId="12" fontId="1" numFmtId="0" xfId="0" applyAlignment="1" applyBorder="1" applyFont="1">
      <alignment horizontal="right" vertical="center"/>
    </xf>
    <xf borderId="2" fillId="12" fontId="4" numFmtId="0" xfId="0" applyAlignment="1" applyBorder="1" applyFont="1">
      <alignment vertical="center"/>
    </xf>
    <xf borderId="2" fillId="13" fontId="1" numFmtId="0" xfId="0" applyAlignment="1" applyBorder="1" applyFont="1">
      <alignment horizontal="right" vertical="center"/>
    </xf>
    <xf borderId="2" fillId="13" fontId="4" numFmtId="0" xfId="0" applyAlignment="1" applyBorder="1" applyFont="1">
      <alignment vertical="center"/>
    </xf>
    <xf borderId="0" fillId="0" fontId="4" numFmtId="0" xfId="0" applyAlignment="1" applyFont="1">
      <alignment horizontal="left" vertical="center"/>
    </xf>
    <xf borderId="64" fillId="14" fontId="12" numFmtId="0" xfId="0" applyAlignment="1" applyBorder="1" applyFill="1" applyFont="1">
      <alignment horizontal="center" vertical="center"/>
    </xf>
    <xf borderId="67" fillId="0" fontId="3" numFmtId="0" xfId="0" applyBorder="1" applyFont="1"/>
    <xf borderId="64" fillId="14" fontId="12" numFmtId="165" xfId="0" applyAlignment="1" applyBorder="1" applyFont="1" applyNumberFormat="1">
      <alignment horizontal="center" vertical="center"/>
    </xf>
    <xf borderId="2" fillId="2" fontId="8" numFmtId="0" xfId="0" applyBorder="1" applyFont="1"/>
    <xf borderId="2" fillId="2" fontId="45" numFmtId="0" xfId="0" applyAlignment="1" applyBorder="1" applyFont="1">
      <alignment horizontal="center" vertical="center"/>
    </xf>
    <xf borderId="2" fillId="2" fontId="25" numFmtId="0" xfId="0" applyAlignment="1" applyBorder="1" applyFont="1">
      <alignment horizontal="left" vertical="center"/>
    </xf>
    <xf borderId="2" fillId="2" fontId="1" numFmtId="166" xfId="0" applyAlignment="1" applyBorder="1" applyFont="1" applyNumberFormat="1">
      <alignment horizontal="center" vertical="center"/>
    </xf>
    <xf borderId="2" fillId="2" fontId="46" numFmtId="0" xfId="0" applyBorder="1" applyFont="1"/>
    <xf borderId="2" fillId="2" fontId="4" numFmtId="0" xfId="0" applyAlignment="1" applyBorder="1" applyFont="1">
      <alignment horizontal="left" vertical="center"/>
    </xf>
    <xf borderId="2" fillId="2" fontId="4" numFmtId="3" xfId="0" applyAlignment="1" applyBorder="1" applyFont="1" applyNumberFormat="1">
      <alignment horizontal="center" vertical="center"/>
    </xf>
    <xf borderId="68" fillId="2" fontId="25" numFmtId="0" xfId="0" applyAlignment="1" applyBorder="1" applyFont="1">
      <alignment horizontal="left" vertical="center"/>
    </xf>
    <xf borderId="68" fillId="2" fontId="1" numFmtId="168" xfId="0" applyAlignment="1" applyBorder="1" applyFont="1" applyNumberFormat="1">
      <alignment horizontal="center" vertical="center"/>
    </xf>
    <xf borderId="68" fillId="2" fontId="8" numFmtId="0" xfId="0" applyBorder="1" applyFont="1"/>
    <xf borderId="2" fillId="2" fontId="1" numFmtId="168" xfId="0" applyAlignment="1" applyBorder="1" applyFont="1" applyNumberFormat="1">
      <alignment horizontal="center" vertical="center"/>
    </xf>
    <xf borderId="2" fillId="2" fontId="24" numFmtId="0" xfId="0" applyBorder="1" applyFont="1"/>
    <xf borderId="2" fillId="2" fontId="24" numFmtId="168" xfId="0" applyBorder="1" applyFont="1" applyNumberFormat="1"/>
    <xf borderId="2" fillId="2" fontId="24" numFmtId="166" xfId="0" applyBorder="1" applyFont="1" applyNumberFormat="1"/>
    <xf borderId="0" fillId="0" fontId="47" numFmtId="0" xfId="0" applyFont="1"/>
    <xf borderId="0" fillId="0" fontId="8" numFmtId="4" xfId="0" applyFont="1" applyNumberFormat="1"/>
    <xf borderId="0" fillId="0" fontId="24" numFmtId="0" xfId="0" applyFont="1"/>
    <xf borderId="0" fillId="0" fontId="24" numFmtId="0" xfId="0" applyAlignment="1" applyFont="1">
      <alignment horizontal="right"/>
    </xf>
    <xf borderId="69" fillId="0" fontId="4" numFmtId="0" xfId="0" applyBorder="1" applyFont="1"/>
    <xf borderId="70" fillId="0" fontId="4" numFmtId="0" xfId="0" applyBorder="1" applyFont="1"/>
    <xf borderId="71" fillId="15" fontId="4" numFmtId="0" xfId="0" applyBorder="1" applyFill="1" applyFont="1"/>
    <xf borderId="72" fillId="15" fontId="37" numFmtId="0" xfId="0" applyAlignment="1" applyBorder="1" applyFont="1">
      <alignment vertical="center"/>
    </xf>
    <xf borderId="73" fillId="0" fontId="33" numFmtId="0" xfId="0" applyAlignment="1" applyBorder="1" applyFont="1">
      <alignment horizontal="center" vertical="center"/>
    </xf>
    <xf borderId="69" fillId="0" fontId="8" numFmtId="0" xfId="0" applyAlignment="1" applyBorder="1" applyFont="1">
      <alignment vertical="center"/>
    </xf>
    <xf borderId="71" fillId="15" fontId="37" numFmtId="0" xfId="0" applyAlignment="1" applyBorder="1" applyFont="1">
      <alignment vertical="center"/>
    </xf>
    <xf borderId="74" fillId="0" fontId="33" numFmtId="14" xfId="0" applyAlignment="1" applyBorder="1" applyFont="1" applyNumberFormat="1">
      <alignment horizontal="center" vertical="center"/>
    </xf>
    <xf borderId="74" fillId="0" fontId="33" numFmtId="0" xfId="0" applyAlignment="1" applyBorder="1" applyFont="1">
      <alignment horizontal="center" vertical="center"/>
    </xf>
    <xf borderId="2" fillId="2" fontId="4" numFmtId="0" xfId="0" applyBorder="1" applyFont="1"/>
    <xf borderId="2" fillId="2" fontId="33" numFmtId="0" xfId="0" applyAlignment="1" applyBorder="1" applyFont="1">
      <alignment vertical="center"/>
    </xf>
    <xf borderId="2" fillId="2" fontId="8" numFmtId="0" xfId="0" applyAlignment="1" applyBorder="1" applyFont="1">
      <alignment vertical="center"/>
    </xf>
    <xf borderId="2" fillId="2" fontId="9" numFmtId="0" xfId="0" applyAlignment="1" applyBorder="1" applyFont="1">
      <alignment shrinkToFit="0" vertical="center" wrapText="1"/>
    </xf>
    <xf borderId="64" fillId="2" fontId="9" numFmtId="0" xfId="0" applyAlignment="1" applyBorder="1" applyFont="1">
      <alignment shrinkToFit="0" vertical="center" wrapText="1"/>
    </xf>
    <xf borderId="69" fillId="0" fontId="33" numFmtId="0" xfId="0" applyAlignment="1" applyBorder="1" applyFont="1">
      <alignment vertical="center"/>
    </xf>
    <xf borderId="69" fillId="0" fontId="33" numFmtId="168" xfId="0" applyAlignment="1" applyBorder="1" applyFont="1" applyNumberFormat="1">
      <alignment horizontal="right" vertical="center"/>
    </xf>
    <xf borderId="0" fillId="0" fontId="32" numFmtId="169" xfId="0" applyAlignment="1" applyFont="1" applyNumberFormat="1">
      <alignment horizontal="right"/>
    </xf>
    <xf borderId="69" fillId="0" fontId="4" numFmtId="0" xfId="0" applyAlignment="1" applyBorder="1" applyFont="1">
      <alignment shrinkToFit="0" vertical="top" wrapText="1"/>
    </xf>
    <xf borderId="69" fillId="0" fontId="3" numFmtId="0" xfId="0" applyBorder="1" applyFont="1"/>
    <xf borderId="0" fillId="0" fontId="48" numFmtId="0" xfId="0" applyAlignment="1" applyFont="1">
      <alignment vertical="center"/>
    </xf>
    <xf borderId="0" fillId="0" fontId="4" numFmtId="168" xfId="0" applyFont="1" applyNumberFormat="1"/>
    <xf borderId="2" fillId="16" fontId="8" numFmtId="0" xfId="0" applyBorder="1" applyFill="1" applyFont="1"/>
    <xf borderId="2" fillId="16" fontId="8" numFmtId="168" xfId="0" applyBorder="1" applyFont="1" applyNumberFormat="1"/>
    <xf borderId="2" fillId="16" fontId="4" numFmtId="0" xfId="0" applyBorder="1" applyFont="1"/>
    <xf borderId="64" fillId="16" fontId="49" numFmtId="0" xfId="0" applyAlignment="1" applyBorder="1" applyFont="1">
      <alignment vertical="top"/>
    </xf>
    <xf borderId="2" fillId="16" fontId="8" numFmtId="0" xfId="0" applyAlignment="1" applyBorder="1" applyFont="1">
      <alignment vertical="top"/>
    </xf>
    <xf borderId="2" fillId="16" fontId="49" numFmtId="168" xfId="0" applyAlignment="1" applyBorder="1" applyFont="1" applyNumberFormat="1">
      <alignment horizontal="right" vertical="top"/>
    </xf>
    <xf borderId="2" fillId="16" fontId="50" numFmtId="0" xfId="0" applyAlignment="1" applyBorder="1" applyFont="1">
      <alignment vertical="center"/>
    </xf>
    <xf borderId="2" fillId="16" fontId="4" numFmtId="0" xfId="0" applyAlignment="1" applyBorder="1" applyFont="1">
      <alignment vertical="center"/>
    </xf>
    <xf borderId="2" fillId="16" fontId="51" numFmtId="169" xfId="0" applyAlignment="1" applyBorder="1" applyFont="1" applyNumberFormat="1">
      <alignment horizontal="right" vertical="center"/>
    </xf>
    <xf borderId="2" fillId="16" fontId="8" numFmtId="169" xfId="0" applyAlignment="1" applyBorder="1" applyFont="1" applyNumberFormat="1">
      <alignment vertical="top"/>
    </xf>
    <xf borderId="0" fillId="0" fontId="8" numFmtId="168" xfId="0" applyFont="1" applyNumberFormat="1"/>
    <xf borderId="2" fillId="15" fontId="8" numFmtId="0" xfId="0" applyBorder="1" applyFont="1"/>
    <xf borderId="2" fillId="15" fontId="8" numFmtId="168" xfId="0" applyBorder="1" applyFont="1" applyNumberFormat="1"/>
    <xf borderId="2" fillId="15" fontId="4" numFmtId="0" xfId="0" applyBorder="1" applyFont="1"/>
    <xf borderId="64" fillId="15" fontId="49" numFmtId="0" xfId="0" applyAlignment="1" applyBorder="1" applyFont="1">
      <alignment vertical="top"/>
    </xf>
    <xf borderId="2" fillId="15" fontId="8" numFmtId="0" xfId="0" applyAlignment="1" applyBorder="1" applyFont="1">
      <alignment vertical="top"/>
    </xf>
    <xf borderId="2" fillId="15" fontId="49" numFmtId="168" xfId="0" applyAlignment="1" applyBorder="1" applyFont="1" applyNumberFormat="1">
      <alignment horizontal="right" vertical="top"/>
    </xf>
    <xf borderId="2" fillId="15" fontId="50" numFmtId="0" xfId="0" applyAlignment="1" applyBorder="1" applyFont="1">
      <alignment vertical="top"/>
    </xf>
    <xf borderId="2" fillId="15" fontId="50" numFmtId="169" xfId="0" applyAlignment="1" applyBorder="1" applyFont="1" applyNumberFormat="1">
      <alignment horizontal="right" vertical="top"/>
    </xf>
    <xf borderId="2" fillId="15" fontId="51" numFmtId="169" xfId="0" applyAlignment="1" applyBorder="1" applyFont="1" applyNumberFormat="1">
      <alignment horizontal="right" vertical="top"/>
    </xf>
    <xf borderId="2" fillId="15" fontId="4" numFmtId="0" xfId="0" applyAlignment="1" applyBorder="1" applyFont="1">
      <alignment vertical="center"/>
    </xf>
    <xf borderId="64" fillId="15" fontId="52" numFmtId="0" xfId="0" applyAlignment="1" applyBorder="1" applyFont="1">
      <alignment shrinkToFit="0" vertical="center" wrapText="1"/>
    </xf>
    <xf borderId="2" fillId="16" fontId="4" numFmtId="168" xfId="0" applyBorder="1" applyFont="1" applyNumberFormat="1"/>
    <xf borderId="2" fillId="16" fontId="4" numFmtId="0" xfId="0" applyAlignment="1" applyBorder="1" applyFont="1">
      <alignment vertical="top"/>
    </xf>
    <xf borderId="2" fillId="16" fontId="50" numFmtId="0" xfId="0" applyAlignment="1" applyBorder="1" applyFont="1">
      <alignment vertical="top"/>
    </xf>
    <xf borderId="2" fillId="16" fontId="50" numFmtId="169" xfId="0" applyAlignment="1" applyBorder="1" applyFont="1" applyNumberFormat="1">
      <alignment horizontal="right" vertical="top"/>
    </xf>
    <xf borderId="2" fillId="16" fontId="52" numFmtId="0" xfId="0" applyAlignment="1" applyBorder="1" applyFont="1">
      <alignment horizontal="right" shrinkToFit="0" vertical="top" wrapText="1"/>
    </xf>
    <xf borderId="64" fillId="16" fontId="52" numFmtId="0" xfId="0" applyAlignment="1" applyBorder="1" applyFont="1">
      <alignment shrinkToFit="0" vertical="top" wrapText="1"/>
    </xf>
    <xf borderId="2" fillId="15" fontId="4" numFmtId="0" xfId="0" applyAlignment="1" applyBorder="1" applyFont="1">
      <alignment vertical="top"/>
    </xf>
    <xf borderId="2" fillId="15" fontId="4" numFmtId="169" xfId="0" applyAlignment="1" applyBorder="1" applyFont="1" applyNumberFormat="1">
      <alignment vertical="top"/>
    </xf>
    <xf borderId="2" fillId="15" fontId="8" numFmtId="169" xfId="0" applyAlignment="1" applyBorder="1" applyFont="1" applyNumberFormat="1">
      <alignment vertical="top"/>
    </xf>
    <xf borderId="64" fillId="15" fontId="52" numFmtId="0" xfId="0" applyAlignment="1" applyBorder="1" applyFont="1">
      <alignment shrinkToFit="0" vertical="top" wrapText="1"/>
    </xf>
    <xf borderId="0" fillId="0" fontId="4" numFmtId="0" xfId="0" applyAlignment="1" applyFont="1">
      <alignment vertical="top"/>
    </xf>
    <xf borderId="0" fillId="0" fontId="4" numFmtId="169" xfId="0" applyAlignment="1" applyFont="1" applyNumberFormat="1">
      <alignment vertical="top"/>
    </xf>
    <xf borderId="0" fillId="0" fontId="38" numFmtId="0" xfId="0" applyAlignment="1" applyFont="1">
      <alignment vertical="top"/>
    </xf>
  </cellXfs>
  <cellStyles count="1">
    <cellStyle xfId="0" name="Normal" builtinId="0"/>
  </cellStyles>
  <dxfs count="4">
    <dxf>
      <font>
        <color rgb="FF980000"/>
      </font>
      <fill>
        <patternFill patternType="none"/>
      </fill>
      <border/>
    </dxf>
    <dxf>
      <font>
        <color rgb="FF980000"/>
      </font>
      <fill>
        <patternFill patternType="solid">
          <fgColor rgb="FFE6B8AF"/>
          <bgColor rgb="FFE6B8AF"/>
        </patternFill>
      </fill>
      <border/>
    </dxf>
    <dxf>
      <font>
        <b/>
        <color rgb="FF980000"/>
      </font>
      <fill>
        <patternFill patternType="none"/>
      </fill>
      <border/>
    </dxf>
    <dxf>
      <font>
        <color rgb="FFF3F3F3"/>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xdr:row>
      <xdr:rowOff>57150</xdr:rowOff>
    </xdr:from>
    <xdr:ext cx="390525" cy="3152775"/>
    <xdr:sp>
      <xdr:nvSpPr>
        <xdr:cNvPr id="3" name="Shape 3"/>
        <xdr:cNvSpPr/>
      </xdr:nvSpPr>
      <xdr:spPr>
        <a:xfrm>
          <a:off x="5155500" y="2208375"/>
          <a:ext cx="381000" cy="3143250"/>
        </a:xfrm>
        <a:prstGeom prst="downArrow">
          <a:avLst>
            <a:gd fmla="val 50000" name="adj1"/>
            <a:gd fmla="val 50000" name="adj2"/>
          </a:avLst>
        </a:prstGeom>
        <a:solidFill>
          <a:srgbClr val="00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114300</xdr:colOff>
      <xdr:row>13</xdr:row>
      <xdr:rowOff>466725</xdr:rowOff>
    </xdr:from>
    <xdr:ext cx="390525" cy="4105275"/>
    <xdr:sp>
      <xdr:nvSpPr>
        <xdr:cNvPr id="4" name="Shape 4"/>
        <xdr:cNvSpPr/>
      </xdr:nvSpPr>
      <xdr:spPr>
        <a:xfrm>
          <a:off x="5155500" y="1732125"/>
          <a:ext cx="381000" cy="4095750"/>
        </a:xfrm>
        <a:prstGeom prst="downArrow">
          <a:avLst>
            <a:gd fmla="val 50000" name="adj1"/>
            <a:gd fmla="val 50000" name="adj2"/>
          </a:avLst>
        </a:prstGeom>
        <a:solidFill>
          <a:srgbClr val="00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9</xdr:row>
      <xdr:rowOff>66675</xdr:rowOff>
    </xdr:from>
    <xdr:ext cx="752475" cy="2162175"/>
    <xdr:sp>
      <xdr:nvSpPr>
        <xdr:cNvPr id="5" name="Shape 5"/>
        <xdr:cNvSpPr/>
      </xdr:nvSpPr>
      <xdr:spPr>
        <a:xfrm>
          <a:off x="4974525" y="2703675"/>
          <a:ext cx="742950" cy="2152650"/>
        </a:xfrm>
        <a:prstGeom prst="downArrow">
          <a:avLst>
            <a:gd fmla="val 50000" name="adj1"/>
            <a:gd fmla="val 50000" name="adj2"/>
          </a:avLst>
        </a:prstGeom>
        <a:solidFill>
          <a:srgbClr val="00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190500</xdr:colOff>
      <xdr:row>43</xdr:row>
      <xdr:rowOff>171450</xdr:rowOff>
    </xdr:from>
    <xdr:ext cx="752475" cy="2162175"/>
    <xdr:sp>
      <xdr:nvSpPr>
        <xdr:cNvPr id="5" name="Shape 5"/>
        <xdr:cNvSpPr/>
      </xdr:nvSpPr>
      <xdr:spPr>
        <a:xfrm>
          <a:off x="4974525" y="2703675"/>
          <a:ext cx="742950" cy="2152650"/>
        </a:xfrm>
        <a:prstGeom prst="downArrow">
          <a:avLst>
            <a:gd fmla="val 50000" name="adj1"/>
            <a:gd fmla="val 50000" name="adj2"/>
          </a:avLst>
        </a:prstGeom>
        <a:solidFill>
          <a:srgbClr val="00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866775</xdr:colOff>
      <xdr:row>27</xdr:row>
      <xdr:rowOff>76200</xdr:rowOff>
    </xdr:from>
    <xdr:ext cx="447675" cy="561975"/>
    <xdr:sp>
      <xdr:nvSpPr>
        <xdr:cNvPr id="6" name="Shape 6"/>
        <xdr:cNvSpPr/>
      </xdr:nvSpPr>
      <xdr:spPr>
        <a:xfrm flipH="1" rot="-5400000">
          <a:off x="5069775" y="3560925"/>
          <a:ext cx="552450" cy="438150"/>
        </a:xfrm>
        <a:prstGeom prst="bentArrow">
          <a:avLst>
            <a:gd fmla="val 25000" name="adj1"/>
            <a:gd fmla="val 25161" name="adj2"/>
            <a:gd fmla="val 25000" name="adj3"/>
            <a:gd fmla="val 43750" name="adj4"/>
          </a:avLst>
        </a:prstGeom>
        <a:solidFill>
          <a:srgbClr val="00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1914525</xdr:colOff>
      <xdr:row>0</xdr:row>
      <xdr:rowOff>0</xdr:rowOff>
    </xdr:from>
    <xdr:ext cx="2200275"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1914525</xdr:colOff>
      <xdr:row>0</xdr:row>
      <xdr:rowOff>0</xdr:rowOff>
    </xdr:from>
    <xdr:ext cx="2200275"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1581150</xdr:colOff>
      <xdr:row>0</xdr:row>
      <xdr:rowOff>0</xdr:rowOff>
    </xdr:from>
    <xdr:ext cx="2200275"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266700</xdr:colOff>
      <xdr:row>0</xdr:row>
      <xdr:rowOff>0</xdr:rowOff>
    </xdr:from>
    <xdr:ext cx="2209800" cy="1704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1581150</xdr:colOff>
      <xdr:row>0</xdr:row>
      <xdr:rowOff>0</xdr:rowOff>
    </xdr:from>
    <xdr:ext cx="2200275"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sheetPr>
  <sheetViews>
    <sheetView showGridLines="0" workbookViewId="0"/>
  </sheetViews>
  <sheetFormatPr customHeight="1" defaultColWidth="12.63" defaultRowHeight="15.0"/>
  <cols>
    <col customWidth="1" min="1" max="1" width="17.38"/>
    <col customWidth="1" min="2" max="2" width="13.38"/>
    <col customWidth="1" min="3" max="6" width="12.63"/>
  </cols>
  <sheetData>
    <row r="1" ht="75.0" customHeight="1">
      <c r="A1" s="1"/>
      <c r="B1" s="2" t="s">
        <v>0</v>
      </c>
      <c r="C1" s="3"/>
      <c r="D1" s="3"/>
      <c r="E1" s="3"/>
      <c r="F1" s="3"/>
      <c r="G1" s="3"/>
      <c r="H1" s="3"/>
      <c r="I1" s="4"/>
      <c r="J1" s="4"/>
      <c r="K1" s="5"/>
      <c r="L1" s="6"/>
      <c r="M1" s="6"/>
      <c r="N1" s="6"/>
      <c r="O1" s="6"/>
      <c r="P1" s="6"/>
      <c r="Q1" s="6"/>
      <c r="R1" s="6"/>
      <c r="S1" s="6"/>
      <c r="T1" s="6"/>
      <c r="U1" s="6"/>
      <c r="V1" s="6"/>
      <c r="W1" s="6"/>
      <c r="X1" s="6"/>
      <c r="Y1" s="6"/>
      <c r="Z1" s="6"/>
    </row>
    <row r="2" ht="22.5" customHeight="1">
      <c r="A2" s="7"/>
      <c r="B2" s="8"/>
      <c r="C2" s="8"/>
      <c r="D2" s="8"/>
      <c r="E2" s="8"/>
      <c r="F2" s="8"/>
      <c r="G2" s="8"/>
      <c r="H2" s="8"/>
      <c r="I2" s="8"/>
      <c r="J2" s="8"/>
      <c r="K2" s="8"/>
      <c r="L2" s="8"/>
      <c r="M2" s="8"/>
      <c r="N2" s="8"/>
      <c r="O2" s="8"/>
      <c r="P2" s="8"/>
      <c r="Q2" s="8"/>
      <c r="R2" s="8"/>
      <c r="S2" s="8"/>
      <c r="T2" s="8"/>
      <c r="U2" s="8"/>
      <c r="V2" s="8"/>
      <c r="W2" s="8"/>
      <c r="X2" s="8"/>
      <c r="Y2" s="8"/>
      <c r="Z2" s="8"/>
    </row>
    <row r="3" ht="22.5" customHeight="1">
      <c r="A3" s="7"/>
      <c r="B3" s="8"/>
      <c r="C3" s="8"/>
      <c r="D3" s="8"/>
      <c r="E3" s="8"/>
      <c r="F3" s="8"/>
      <c r="G3" s="8"/>
      <c r="H3" s="8"/>
      <c r="I3" s="8"/>
      <c r="J3" s="8"/>
      <c r="K3" s="8"/>
      <c r="L3" s="8"/>
      <c r="M3" s="8"/>
      <c r="N3" s="8"/>
      <c r="O3" s="8"/>
      <c r="P3" s="8"/>
      <c r="Q3" s="8"/>
      <c r="R3" s="8"/>
      <c r="S3" s="8"/>
      <c r="T3" s="8"/>
      <c r="U3" s="8"/>
      <c r="V3" s="8"/>
      <c r="W3" s="8"/>
      <c r="X3" s="8"/>
      <c r="Y3" s="8"/>
      <c r="Z3" s="8"/>
    </row>
    <row r="4" ht="37.5" customHeight="1">
      <c r="A4" s="7"/>
      <c r="B4" s="9" t="s">
        <v>1</v>
      </c>
      <c r="C4" s="10" t="s">
        <v>2</v>
      </c>
      <c r="D4" s="8"/>
      <c r="E4" s="8"/>
      <c r="F4" s="8"/>
      <c r="G4" s="8"/>
      <c r="H4" s="8"/>
      <c r="I4" s="8"/>
      <c r="J4" s="8"/>
      <c r="K4" s="8"/>
      <c r="L4" s="8"/>
      <c r="M4" s="8"/>
      <c r="N4" s="8"/>
      <c r="O4" s="8"/>
      <c r="P4" s="8"/>
      <c r="Q4" s="8"/>
      <c r="R4" s="8"/>
      <c r="S4" s="8"/>
      <c r="T4" s="8"/>
      <c r="U4" s="8"/>
      <c r="V4" s="8"/>
      <c r="W4" s="8"/>
      <c r="X4" s="8"/>
      <c r="Y4" s="8"/>
      <c r="Z4" s="8"/>
    </row>
    <row r="5" ht="22.5" customHeight="1">
      <c r="A5" s="7"/>
      <c r="B5" s="8" t="b">
        <v>0</v>
      </c>
      <c r="C5" s="8" t="s">
        <v>3</v>
      </c>
      <c r="D5" s="8"/>
      <c r="E5" s="8"/>
      <c r="F5" s="8"/>
      <c r="G5" s="8"/>
      <c r="H5" s="8"/>
      <c r="I5" s="8"/>
      <c r="J5" s="8"/>
      <c r="K5" s="8"/>
      <c r="L5" s="8"/>
      <c r="M5" s="8"/>
      <c r="N5" s="8"/>
      <c r="O5" s="8"/>
      <c r="P5" s="8"/>
      <c r="Q5" s="8"/>
      <c r="R5" s="8"/>
      <c r="S5" s="8"/>
      <c r="T5" s="8"/>
      <c r="U5" s="8"/>
      <c r="V5" s="8"/>
      <c r="W5" s="8"/>
      <c r="X5" s="8"/>
      <c r="Y5" s="8"/>
      <c r="Z5" s="8"/>
    </row>
    <row r="6" ht="22.5" customHeight="1">
      <c r="A6" s="7"/>
      <c r="B6" s="8"/>
      <c r="C6" s="8" t="s">
        <v>4</v>
      </c>
      <c r="D6" s="8"/>
      <c r="E6" s="8"/>
      <c r="F6" s="8"/>
      <c r="G6" s="8"/>
      <c r="H6" s="8"/>
      <c r="I6" s="8"/>
      <c r="J6" s="8"/>
      <c r="K6" s="8"/>
      <c r="L6" s="8"/>
      <c r="M6" s="8"/>
      <c r="N6" s="8"/>
      <c r="O6" s="8"/>
      <c r="P6" s="8"/>
      <c r="Q6" s="8"/>
      <c r="R6" s="8"/>
      <c r="S6" s="8"/>
      <c r="T6" s="8"/>
      <c r="U6" s="8"/>
      <c r="V6" s="8"/>
      <c r="W6" s="8"/>
      <c r="X6" s="8"/>
      <c r="Y6" s="8"/>
      <c r="Z6" s="8"/>
    </row>
    <row r="7" ht="22.5" customHeight="1">
      <c r="A7" s="7"/>
      <c r="B7" s="8" t="b">
        <v>0</v>
      </c>
      <c r="C7" s="8" t="s">
        <v>5</v>
      </c>
      <c r="D7" s="8"/>
      <c r="E7" s="8"/>
      <c r="F7" s="8"/>
      <c r="G7" s="8"/>
      <c r="H7" s="8"/>
      <c r="I7" s="8"/>
      <c r="J7" s="8"/>
      <c r="K7" s="8"/>
      <c r="L7" s="8"/>
      <c r="M7" s="8"/>
      <c r="N7" s="8"/>
      <c r="O7" s="8"/>
      <c r="P7" s="8"/>
      <c r="Q7" s="8"/>
      <c r="R7" s="8"/>
      <c r="S7" s="8"/>
      <c r="T7" s="8"/>
      <c r="U7" s="8"/>
      <c r="V7" s="8"/>
      <c r="W7" s="8"/>
      <c r="X7" s="8"/>
      <c r="Y7" s="8"/>
      <c r="Z7" s="8"/>
    </row>
    <row r="8" ht="22.5" customHeight="1">
      <c r="A8" s="7"/>
      <c r="B8" s="8"/>
      <c r="C8" s="8" t="b">
        <v>0</v>
      </c>
      <c r="D8" s="8" t="s">
        <v>6</v>
      </c>
      <c r="E8" s="8"/>
      <c r="F8" s="8"/>
      <c r="G8" s="8"/>
      <c r="H8" s="8"/>
      <c r="I8" s="8"/>
      <c r="J8" s="8"/>
      <c r="K8" s="8"/>
      <c r="L8" s="8"/>
      <c r="M8" s="8"/>
      <c r="N8" s="8"/>
      <c r="O8" s="8"/>
      <c r="P8" s="8"/>
      <c r="Q8" s="8"/>
      <c r="R8" s="8"/>
      <c r="S8" s="8"/>
      <c r="T8" s="8"/>
      <c r="U8" s="8"/>
      <c r="V8" s="8"/>
      <c r="W8" s="8"/>
      <c r="X8" s="8"/>
      <c r="Y8" s="8"/>
      <c r="Z8" s="8"/>
    </row>
    <row r="9" ht="22.5" customHeight="1">
      <c r="A9" s="7"/>
      <c r="B9" s="8"/>
      <c r="C9" s="8" t="b">
        <v>0</v>
      </c>
      <c r="D9" s="8" t="s">
        <v>7</v>
      </c>
      <c r="E9" s="8"/>
      <c r="F9" s="8"/>
      <c r="G9" s="8"/>
      <c r="H9" s="8"/>
      <c r="I9" s="8"/>
      <c r="J9" s="8"/>
      <c r="K9" s="8"/>
      <c r="L9" s="8"/>
      <c r="M9" s="8"/>
      <c r="N9" s="8"/>
      <c r="O9" s="8"/>
      <c r="P9" s="8"/>
      <c r="Q9" s="8"/>
      <c r="R9" s="8"/>
      <c r="S9" s="8"/>
      <c r="T9" s="8"/>
      <c r="U9" s="8"/>
      <c r="V9" s="8"/>
      <c r="W9" s="8"/>
      <c r="X9" s="8"/>
      <c r="Y9" s="8"/>
      <c r="Z9" s="8"/>
    </row>
    <row r="10" ht="22.5" customHeight="1">
      <c r="A10" s="7"/>
      <c r="B10" s="8"/>
      <c r="C10" s="8" t="b">
        <v>0</v>
      </c>
      <c r="D10" s="8" t="s">
        <v>8</v>
      </c>
      <c r="E10" s="8"/>
      <c r="F10" s="8"/>
      <c r="G10" s="8"/>
      <c r="H10" s="8"/>
      <c r="I10" s="8"/>
      <c r="J10" s="8"/>
      <c r="K10" s="8"/>
      <c r="L10" s="8"/>
      <c r="M10" s="8"/>
      <c r="N10" s="8"/>
      <c r="O10" s="8"/>
      <c r="P10" s="8"/>
      <c r="Q10" s="8"/>
      <c r="R10" s="8"/>
      <c r="S10" s="8"/>
      <c r="T10" s="8"/>
      <c r="U10" s="8"/>
      <c r="V10" s="8"/>
      <c r="W10" s="8"/>
      <c r="X10" s="8"/>
      <c r="Y10" s="8"/>
      <c r="Z10" s="8"/>
    </row>
    <row r="11" ht="22.5" customHeight="1">
      <c r="A11" s="7"/>
      <c r="B11" s="8"/>
      <c r="C11" s="8" t="b">
        <v>0</v>
      </c>
      <c r="D11" s="8" t="s">
        <v>9</v>
      </c>
      <c r="E11" s="8"/>
      <c r="F11" s="8"/>
      <c r="G11" s="8"/>
      <c r="H11" s="8"/>
      <c r="I11" s="8"/>
      <c r="J11" s="8"/>
      <c r="K11" s="8"/>
      <c r="L11" s="8"/>
      <c r="M11" s="8"/>
      <c r="N11" s="8"/>
      <c r="O11" s="8"/>
      <c r="P11" s="8"/>
      <c r="Q11" s="8"/>
      <c r="R11" s="8"/>
      <c r="S11" s="8"/>
      <c r="T11" s="8"/>
      <c r="U11" s="8"/>
      <c r="V11" s="8"/>
      <c r="W11" s="8"/>
      <c r="X11" s="8"/>
      <c r="Y11" s="8"/>
      <c r="Z11" s="8"/>
    </row>
    <row r="12" ht="22.5" customHeight="1">
      <c r="A12" s="7"/>
      <c r="B12" s="8"/>
      <c r="C12" s="8" t="b">
        <v>0</v>
      </c>
      <c r="D12" s="8" t="s">
        <v>10</v>
      </c>
      <c r="E12" s="8"/>
      <c r="F12" s="8"/>
      <c r="G12" s="8"/>
      <c r="H12" s="8"/>
      <c r="I12" s="8"/>
      <c r="J12" s="8"/>
      <c r="K12" s="8"/>
      <c r="L12" s="8"/>
      <c r="M12" s="8"/>
      <c r="N12" s="8"/>
      <c r="O12" s="8"/>
      <c r="P12" s="8"/>
      <c r="Q12" s="8"/>
      <c r="R12" s="8"/>
      <c r="S12" s="8"/>
      <c r="T12" s="8"/>
      <c r="U12" s="8"/>
      <c r="V12" s="8"/>
      <c r="W12" s="8"/>
      <c r="X12" s="8"/>
      <c r="Y12" s="8"/>
      <c r="Z12" s="8"/>
    </row>
    <row r="13" ht="22.5" customHeight="1">
      <c r="A13" s="7"/>
      <c r="B13" s="8" t="b">
        <v>0</v>
      </c>
      <c r="C13" s="8" t="s">
        <v>11</v>
      </c>
      <c r="D13" s="8"/>
      <c r="E13" s="8"/>
      <c r="F13" s="8"/>
      <c r="G13" s="8"/>
      <c r="H13" s="8"/>
      <c r="I13" s="8"/>
      <c r="J13" s="8"/>
      <c r="K13" s="8"/>
      <c r="L13" s="8"/>
      <c r="M13" s="8"/>
      <c r="N13" s="8"/>
      <c r="O13" s="8"/>
      <c r="P13" s="8"/>
      <c r="Q13" s="8"/>
      <c r="R13" s="8"/>
      <c r="S13" s="8"/>
      <c r="T13" s="8"/>
      <c r="U13" s="8"/>
      <c r="V13" s="8"/>
      <c r="W13" s="8"/>
      <c r="X13" s="8"/>
      <c r="Y13" s="8"/>
      <c r="Z13" s="8"/>
    </row>
    <row r="14" ht="22.5" customHeight="1">
      <c r="A14" s="7"/>
      <c r="B14" s="8"/>
      <c r="C14" s="8" t="b">
        <v>0</v>
      </c>
      <c r="D14" s="8" t="s">
        <v>12</v>
      </c>
      <c r="E14" s="8"/>
      <c r="F14" s="8"/>
      <c r="G14" s="8"/>
      <c r="H14" s="8"/>
      <c r="I14" s="8"/>
      <c r="J14" s="8"/>
      <c r="K14" s="8"/>
      <c r="L14" s="8"/>
      <c r="M14" s="8"/>
      <c r="N14" s="8"/>
      <c r="O14" s="8"/>
      <c r="P14" s="8"/>
      <c r="Q14" s="8"/>
      <c r="R14" s="8"/>
      <c r="S14" s="8"/>
      <c r="T14" s="8"/>
      <c r="U14" s="8"/>
      <c r="V14" s="8"/>
      <c r="W14" s="8"/>
      <c r="X14" s="8"/>
      <c r="Y14" s="8"/>
      <c r="Z14" s="8"/>
    </row>
    <row r="15" ht="22.5" customHeight="1">
      <c r="A15" s="7"/>
      <c r="B15" s="8"/>
      <c r="C15" s="8" t="b">
        <v>0</v>
      </c>
      <c r="D15" s="8" t="s">
        <v>13</v>
      </c>
      <c r="E15" s="8"/>
      <c r="F15" s="8"/>
      <c r="G15" s="8"/>
      <c r="H15" s="8"/>
      <c r="I15" s="8"/>
      <c r="J15" s="8"/>
      <c r="K15" s="8"/>
      <c r="L15" s="8"/>
      <c r="M15" s="8"/>
      <c r="N15" s="8"/>
      <c r="O15" s="8"/>
      <c r="P15" s="8"/>
      <c r="Q15" s="8"/>
      <c r="R15" s="8"/>
      <c r="S15" s="8"/>
      <c r="T15" s="8"/>
      <c r="U15" s="8"/>
      <c r="V15" s="8"/>
      <c r="W15" s="8"/>
      <c r="X15" s="8"/>
      <c r="Y15" s="8"/>
      <c r="Z15" s="8"/>
    </row>
    <row r="16" ht="22.5" customHeight="1">
      <c r="A16" s="7"/>
      <c r="B16" s="8"/>
      <c r="C16" s="8" t="b">
        <v>0</v>
      </c>
      <c r="D16" s="8" t="s">
        <v>14</v>
      </c>
      <c r="E16" s="8"/>
      <c r="F16" s="8"/>
      <c r="G16" s="8"/>
      <c r="H16" s="8"/>
      <c r="I16" s="8"/>
      <c r="J16" s="8"/>
      <c r="K16" s="8"/>
      <c r="L16" s="8"/>
      <c r="M16" s="8"/>
      <c r="N16" s="8"/>
      <c r="O16" s="8"/>
      <c r="P16" s="8"/>
      <c r="Q16" s="8"/>
      <c r="R16" s="8"/>
      <c r="S16" s="8"/>
      <c r="T16" s="8"/>
      <c r="U16" s="8"/>
      <c r="V16" s="8"/>
      <c r="W16" s="8"/>
      <c r="X16" s="8"/>
      <c r="Y16" s="8"/>
      <c r="Z16" s="8"/>
    </row>
    <row r="17" ht="22.5" customHeight="1">
      <c r="A17" s="7"/>
      <c r="B17" s="8" t="b">
        <v>0</v>
      </c>
      <c r="C17" s="8" t="s">
        <v>15</v>
      </c>
      <c r="D17" s="8"/>
      <c r="E17" s="8"/>
      <c r="F17" s="8"/>
      <c r="G17" s="8"/>
      <c r="H17" s="8"/>
      <c r="I17" s="8"/>
      <c r="J17" s="8"/>
      <c r="K17" s="8"/>
      <c r="L17" s="8"/>
      <c r="M17" s="8"/>
      <c r="N17" s="8"/>
      <c r="O17" s="8"/>
      <c r="P17" s="8"/>
      <c r="Q17" s="8"/>
      <c r="R17" s="8"/>
      <c r="S17" s="8"/>
      <c r="T17" s="8"/>
      <c r="U17" s="8"/>
      <c r="V17" s="8"/>
      <c r="W17" s="8"/>
      <c r="X17" s="8"/>
      <c r="Y17" s="8"/>
      <c r="Z17" s="8"/>
    </row>
    <row r="18" ht="22.5" customHeight="1">
      <c r="A18" s="7"/>
      <c r="B18" s="8"/>
      <c r="C18" s="8"/>
      <c r="D18" s="8"/>
      <c r="E18" s="8"/>
      <c r="F18" s="8"/>
      <c r="G18" s="8"/>
      <c r="H18" s="8"/>
      <c r="I18" s="8"/>
      <c r="J18" s="8"/>
      <c r="K18" s="8"/>
      <c r="L18" s="8"/>
      <c r="M18" s="8"/>
      <c r="N18" s="8"/>
      <c r="O18" s="8"/>
      <c r="P18" s="8"/>
      <c r="Q18" s="8"/>
      <c r="R18" s="8"/>
      <c r="S18" s="8"/>
      <c r="T18" s="8"/>
      <c r="U18" s="8"/>
      <c r="V18" s="8"/>
      <c r="W18" s="8"/>
      <c r="X18" s="8"/>
      <c r="Y18" s="8"/>
      <c r="Z18" s="8"/>
    </row>
    <row r="19" ht="22.5" customHeight="1">
      <c r="A19" s="7"/>
      <c r="B19" s="8"/>
      <c r="C19" s="8"/>
      <c r="D19" s="8"/>
      <c r="E19" s="8"/>
      <c r="F19" s="8"/>
      <c r="G19" s="8"/>
      <c r="H19" s="8"/>
      <c r="I19" s="8"/>
      <c r="J19" s="8"/>
      <c r="K19" s="8"/>
      <c r="L19" s="8"/>
      <c r="M19" s="8"/>
      <c r="N19" s="8"/>
      <c r="O19" s="8"/>
      <c r="P19" s="8"/>
      <c r="Q19" s="8"/>
      <c r="R19" s="8"/>
      <c r="S19" s="8"/>
      <c r="T19" s="8"/>
      <c r="U19" s="8"/>
      <c r="V19" s="8"/>
      <c r="W19" s="8"/>
      <c r="X19" s="8"/>
      <c r="Y19" s="8"/>
      <c r="Z19" s="8"/>
    </row>
    <row r="20" ht="37.5" customHeight="1">
      <c r="A20" s="7"/>
      <c r="B20" s="9" t="s">
        <v>16</v>
      </c>
      <c r="C20" s="10" t="s">
        <v>17</v>
      </c>
      <c r="D20" s="8"/>
      <c r="E20" s="8"/>
      <c r="F20" s="8"/>
      <c r="G20" s="8"/>
      <c r="H20" s="8"/>
      <c r="I20" s="8"/>
      <c r="J20" s="8"/>
      <c r="K20" s="8"/>
      <c r="L20" s="8"/>
      <c r="M20" s="8"/>
      <c r="N20" s="8"/>
      <c r="O20" s="8"/>
      <c r="P20" s="8"/>
      <c r="Q20" s="8"/>
      <c r="R20" s="8"/>
      <c r="S20" s="8"/>
      <c r="T20" s="8"/>
      <c r="U20" s="8"/>
      <c r="V20" s="8"/>
      <c r="W20" s="8"/>
      <c r="X20" s="8"/>
      <c r="Y20" s="8"/>
      <c r="Z20" s="8"/>
    </row>
    <row r="21" ht="22.5" customHeight="1">
      <c r="A21" s="7" t="s">
        <v>18</v>
      </c>
      <c r="B21" s="8" t="b">
        <v>0</v>
      </c>
      <c r="C21" s="8" t="s">
        <v>19</v>
      </c>
      <c r="D21" s="8"/>
      <c r="E21" s="8"/>
      <c r="F21" s="8"/>
      <c r="G21" s="8"/>
      <c r="I21" s="8"/>
      <c r="J21" s="8"/>
      <c r="K21" s="8"/>
      <c r="L21" s="8"/>
      <c r="M21" s="8"/>
      <c r="N21" s="8"/>
      <c r="O21" s="8"/>
      <c r="P21" s="8"/>
      <c r="Q21" s="8"/>
      <c r="R21" s="8"/>
      <c r="S21" s="8"/>
      <c r="T21" s="8"/>
      <c r="U21" s="8"/>
      <c r="V21" s="8"/>
      <c r="W21" s="8"/>
      <c r="X21" s="8"/>
      <c r="Y21" s="8"/>
      <c r="Z21" s="8"/>
    </row>
    <row r="22" ht="22.5" customHeight="1">
      <c r="A22" s="7" t="s">
        <v>18</v>
      </c>
      <c r="B22" s="8" t="b">
        <v>0</v>
      </c>
      <c r="C22" s="8" t="s">
        <v>20</v>
      </c>
      <c r="D22" s="8"/>
      <c r="E22" s="8"/>
      <c r="F22" s="8"/>
      <c r="G22" s="8"/>
      <c r="I22" s="8"/>
      <c r="J22" s="8"/>
      <c r="K22" s="8"/>
      <c r="L22" s="8"/>
      <c r="M22" s="8"/>
      <c r="N22" s="8"/>
      <c r="O22" s="8"/>
      <c r="P22" s="8"/>
      <c r="Q22" s="8"/>
      <c r="R22" s="8"/>
      <c r="S22" s="8"/>
      <c r="T22" s="8"/>
      <c r="U22" s="8"/>
      <c r="V22" s="8"/>
      <c r="W22" s="8"/>
      <c r="X22" s="8"/>
      <c r="Y22" s="8"/>
      <c r="Z22" s="8"/>
    </row>
    <row r="23" ht="22.5" customHeight="1">
      <c r="A23" s="7"/>
      <c r="B23" s="8"/>
      <c r="C23" s="8"/>
      <c r="D23" s="8"/>
      <c r="E23" s="8"/>
      <c r="F23" s="8"/>
      <c r="G23" s="8"/>
      <c r="H23" s="8"/>
      <c r="I23" s="8"/>
      <c r="J23" s="8"/>
      <c r="K23" s="8"/>
      <c r="L23" s="8"/>
      <c r="M23" s="8"/>
      <c r="N23" s="8"/>
      <c r="O23" s="8"/>
      <c r="P23" s="8"/>
      <c r="Q23" s="8"/>
      <c r="R23" s="8"/>
      <c r="S23" s="8"/>
      <c r="T23" s="8"/>
      <c r="U23" s="8"/>
      <c r="V23" s="8"/>
      <c r="W23" s="8"/>
      <c r="X23" s="8"/>
      <c r="Y23" s="8"/>
      <c r="Z23" s="8"/>
    </row>
    <row r="24" ht="22.5" customHeight="1">
      <c r="A24" s="7"/>
      <c r="B24" s="8"/>
      <c r="C24" s="8"/>
      <c r="D24" s="8"/>
      <c r="E24" s="8"/>
      <c r="F24" s="8"/>
      <c r="G24" s="8"/>
      <c r="H24" s="8"/>
      <c r="I24" s="8"/>
      <c r="J24" s="8"/>
      <c r="K24" s="8"/>
      <c r="L24" s="8"/>
      <c r="M24" s="8"/>
      <c r="N24" s="8"/>
      <c r="O24" s="8"/>
      <c r="P24" s="8"/>
      <c r="Q24" s="8"/>
      <c r="R24" s="8"/>
      <c r="S24" s="8"/>
      <c r="T24" s="8"/>
      <c r="U24" s="8"/>
      <c r="V24" s="8"/>
      <c r="W24" s="8"/>
      <c r="X24" s="8"/>
      <c r="Y24" s="8"/>
      <c r="Z24" s="8"/>
    </row>
    <row r="25" ht="37.5" customHeight="1">
      <c r="A25" s="7"/>
      <c r="B25" s="9" t="s">
        <v>21</v>
      </c>
      <c r="C25" s="10" t="s">
        <v>22</v>
      </c>
      <c r="D25" s="8"/>
      <c r="E25" s="8"/>
      <c r="F25" s="8"/>
      <c r="G25" s="8"/>
      <c r="H25" s="8"/>
      <c r="I25" s="8"/>
      <c r="J25" s="8"/>
      <c r="K25" s="8"/>
      <c r="L25" s="8"/>
      <c r="M25" s="8"/>
      <c r="N25" s="8"/>
      <c r="O25" s="8"/>
      <c r="P25" s="8"/>
      <c r="Q25" s="8"/>
      <c r="R25" s="8"/>
      <c r="S25" s="8"/>
      <c r="T25" s="8"/>
      <c r="U25" s="8"/>
      <c r="V25" s="8"/>
      <c r="W25" s="8"/>
      <c r="X25" s="8"/>
      <c r="Y25" s="8"/>
      <c r="Z25" s="8"/>
    </row>
    <row r="26" ht="22.5" customHeight="1">
      <c r="A26" s="7" t="s">
        <v>18</v>
      </c>
      <c r="B26" s="8" t="b">
        <v>0</v>
      </c>
      <c r="C26" s="8" t="s">
        <v>23</v>
      </c>
      <c r="D26" s="8"/>
      <c r="E26" s="8"/>
      <c r="F26" s="8"/>
      <c r="G26" s="8"/>
      <c r="H26" s="8"/>
      <c r="I26" s="8"/>
      <c r="J26" s="8"/>
      <c r="K26" s="8"/>
      <c r="L26" s="8"/>
      <c r="M26" s="8"/>
      <c r="N26" s="8"/>
      <c r="O26" s="8"/>
      <c r="P26" s="8"/>
      <c r="Q26" s="8"/>
      <c r="R26" s="8"/>
      <c r="S26" s="8"/>
      <c r="T26" s="8"/>
      <c r="U26" s="8"/>
      <c r="V26" s="8"/>
      <c r="W26" s="8"/>
      <c r="X26" s="8"/>
      <c r="Y26" s="8"/>
      <c r="Z26" s="8"/>
    </row>
    <row r="27" ht="22.5" customHeight="1">
      <c r="A27" s="7" t="s">
        <v>24</v>
      </c>
      <c r="B27" s="8" t="b">
        <v>0</v>
      </c>
      <c r="C27" s="8" t="s">
        <v>25</v>
      </c>
      <c r="D27" s="8"/>
      <c r="E27" s="8"/>
      <c r="F27" s="8"/>
      <c r="G27" s="8"/>
      <c r="H27" s="8"/>
      <c r="I27" s="8"/>
      <c r="J27" s="8"/>
      <c r="K27" s="8"/>
      <c r="L27" s="8"/>
      <c r="M27" s="8"/>
      <c r="N27" s="8"/>
      <c r="O27" s="8"/>
      <c r="P27" s="8"/>
      <c r="Q27" s="8"/>
      <c r="R27" s="8"/>
      <c r="S27" s="8"/>
      <c r="T27" s="8"/>
      <c r="U27" s="8"/>
      <c r="V27" s="8"/>
      <c r="W27" s="8"/>
      <c r="X27" s="8"/>
      <c r="Y27" s="8"/>
      <c r="Z27" s="8"/>
    </row>
    <row r="28" ht="22.5" customHeight="1">
      <c r="A28" s="7"/>
      <c r="B28" s="8"/>
      <c r="C28" s="8"/>
      <c r="D28" s="8"/>
      <c r="E28" s="8"/>
      <c r="F28" s="8"/>
      <c r="G28" s="8"/>
      <c r="H28" s="8"/>
      <c r="I28" s="8"/>
      <c r="J28" s="8"/>
      <c r="K28" s="8"/>
      <c r="L28" s="8"/>
      <c r="M28" s="8"/>
      <c r="N28" s="8"/>
      <c r="O28" s="8"/>
      <c r="P28" s="8"/>
      <c r="Q28" s="8"/>
      <c r="R28" s="8"/>
      <c r="S28" s="8"/>
      <c r="T28" s="8"/>
      <c r="U28" s="8"/>
      <c r="V28" s="8"/>
      <c r="W28" s="8"/>
      <c r="X28" s="8"/>
      <c r="Y28" s="8"/>
      <c r="Z28" s="8"/>
    </row>
    <row r="29" ht="22.5" customHeight="1">
      <c r="A29" s="7"/>
      <c r="B29" s="8"/>
      <c r="C29" s="8"/>
      <c r="D29" s="8"/>
      <c r="E29" s="8"/>
      <c r="F29" s="8"/>
      <c r="G29" s="8"/>
      <c r="H29" s="8"/>
      <c r="I29" s="8"/>
      <c r="J29" s="8"/>
      <c r="K29" s="8"/>
      <c r="L29" s="8"/>
      <c r="M29" s="8"/>
      <c r="N29" s="8"/>
      <c r="O29" s="8"/>
      <c r="P29" s="8"/>
      <c r="Q29" s="8"/>
      <c r="R29" s="8"/>
      <c r="S29" s="8"/>
      <c r="T29" s="8"/>
      <c r="U29" s="8"/>
      <c r="V29" s="8"/>
      <c r="W29" s="8"/>
      <c r="X29" s="8"/>
      <c r="Y29" s="8"/>
      <c r="Z29" s="8"/>
    </row>
    <row r="30" ht="37.5" customHeight="1">
      <c r="A30" s="7"/>
      <c r="B30" s="9" t="s">
        <v>26</v>
      </c>
      <c r="C30" s="10" t="s">
        <v>27</v>
      </c>
      <c r="D30" s="8"/>
      <c r="E30" s="8"/>
      <c r="F30" s="8"/>
      <c r="G30" s="8"/>
      <c r="H30" s="8"/>
      <c r="I30" s="8"/>
      <c r="J30" s="8"/>
      <c r="K30" s="8"/>
      <c r="L30" s="8"/>
      <c r="M30" s="8"/>
      <c r="N30" s="8"/>
      <c r="O30" s="8"/>
      <c r="P30" s="8"/>
      <c r="Q30" s="8"/>
      <c r="R30" s="8"/>
      <c r="S30" s="8"/>
      <c r="T30" s="8"/>
      <c r="U30" s="8"/>
      <c r="V30" s="8"/>
      <c r="W30" s="8"/>
      <c r="X30" s="8"/>
      <c r="Y30" s="8"/>
      <c r="Z30" s="8"/>
    </row>
    <row r="31" ht="22.5" customHeight="1">
      <c r="A31" s="7"/>
      <c r="B31" s="8" t="b">
        <v>0</v>
      </c>
      <c r="C31" s="8" t="s">
        <v>28</v>
      </c>
      <c r="D31" s="8"/>
      <c r="E31" s="8"/>
      <c r="F31" s="8"/>
      <c r="G31" s="8"/>
      <c r="H31" s="8"/>
      <c r="I31" s="8"/>
      <c r="J31" s="8"/>
      <c r="K31" s="8"/>
      <c r="L31" s="8"/>
      <c r="M31" s="8"/>
      <c r="N31" s="8"/>
      <c r="O31" s="8"/>
      <c r="P31" s="8"/>
      <c r="Q31" s="8"/>
      <c r="R31" s="8"/>
      <c r="S31" s="8"/>
      <c r="T31" s="8"/>
      <c r="U31" s="8"/>
      <c r="V31" s="8"/>
      <c r="W31" s="8"/>
      <c r="X31" s="8"/>
      <c r="Y31" s="8"/>
      <c r="Z31" s="8"/>
    </row>
    <row r="32" ht="22.5" customHeight="1">
      <c r="A32" s="7"/>
      <c r="B32" s="8" t="b">
        <v>0</v>
      </c>
      <c r="C32" s="8" t="s">
        <v>29</v>
      </c>
      <c r="D32" s="8"/>
      <c r="E32" s="8"/>
      <c r="F32" s="8"/>
      <c r="G32" s="8"/>
      <c r="H32" s="8"/>
      <c r="I32" s="8"/>
      <c r="J32" s="8"/>
      <c r="K32" s="8"/>
      <c r="L32" s="8"/>
      <c r="M32" s="8"/>
      <c r="N32" s="8"/>
      <c r="O32" s="8"/>
      <c r="P32" s="8"/>
      <c r="Q32" s="8"/>
      <c r="R32" s="8"/>
      <c r="S32" s="8"/>
      <c r="T32" s="8"/>
      <c r="U32" s="8"/>
      <c r="V32" s="8"/>
      <c r="W32" s="8"/>
      <c r="X32" s="8"/>
      <c r="Y32" s="8"/>
      <c r="Z32" s="8"/>
    </row>
    <row r="33" ht="22.5" customHeight="1">
      <c r="A33" s="7"/>
      <c r="B33" s="8"/>
      <c r="C33" s="8"/>
      <c r="D33" s="8"/>
      <c r="E33" s="8"/>
      <c r="F33" s="8"/>
      <c r="G33" s="8"/>
      <c r="H33" s="8"/>
      <c r="I33" s="8"/>
      <c r="J33" s="8"/>
      <c r="K33" s="8"/>
      <c r="L33" s="8"/>
      <c r="M33" s="8"/>
      <c r="N33" s="8"/>
      <c r="O33" s="8"/>
      <c r="P33" s="8"/>
      <c r="Q33" s="8"/>
      <c r="R33" s="8"/>
      <c r="S33" s="8"/>
      <c r="T33" s="8"/>
      <c r="U33" s="8"/>
      <c r="V33" s="8"/>
      <c r="W33" s="8"/>
      <c r="X33" s="8"/>
      <c r="Y33" s="8"/>
      <c r="Z33" s="8"/>
    </row>
    <row r="34" ht="22.5" customHeight="1">
      <c r="A34" s="7"/>
      <c r="B34" s="8"/>
      <c r="C34" s="8"/>
      <c r="D34" s="8"/>
      <c r="E34" s="8"/>
      <c r="F34" s="8"/>
      <c r="G34" s="8"/>
      <c r="H34" s="8"/>
      <c r="I34" s="8"/>
      <c r="J34" s="8"/>
      <c r="K34" s="8"/>
      <c r="L34" s="8"/>
      <c r="M34" s="8"/>
      <c r="N34" s="8"/>
      <c r="O34" s="8"/>
      <c r="P34" s="8"/>
      <c r="Q34" s="8"/>
      <c r="R34" s="8"/>
      <c r="S34" s="8"/>
      <c r="T34" s="8"/>
      <c r="U34" s="8"/>
      <c r="V34" s="8"/>
      <c r="W34" s="8"/>
      <c r="X34" s="8"/>
      <c r="Y34" s="8"/>
      <c r="Z34" s="8"/>
    </row>
    <row r="35" ht="37.5" customHeight="1">
      <c r="A35" s="7"/>
      <c r="B35" s="9" t="s">
        <v>30</v>
      </c>
      <c r="C35" s="10"/>
      <c r="D35" s="8"/>
      <c r="E35" s="8"/>
      <c r="F35" s="8"/>
      <c r="G35" s="8"/>
      <c r="H35" s="8"/>
      <c r="I35" s="8"/>
      <c r="J35" s="8"/>
      <c r="K35" s="8"/>
      <c r="L35" s="8"/>
      <c r="M35" s="8"/>
      <c r="N35" s="8"/>
      <c r="O35" s="8"/>
      <c r="P35" s="8"/>
      <c r="Q35" s="8"/>
      <c r="R35" s="8"/>
      <c r="S35" s="8"/>
      <c r="T35" s="8"/>
      <c r="U35" s="8"/>
      <c r="V35" s="8"/>
      <c r="W35" s="8"/>
      <c r="X35" s="8"/>
      <c r="Y35" s="8"/>
      <c r="Z35" s="8"/>
    </row>
    <row r="36" ht="22.5" customHeight="1">
      <c r="A36" s="7"/>
      <c r="B36" s="8" t="b">
        <v>0</v>
      </c>
      <c r="C36" s="8" t="s">
        <v>31</v>
      </c>
      <c r="D36" s="8"/>
      <c r="E36" s="8"/>
      <c r="F36" s="8"/>
      <c r="G36" s="8"/>
      <c r="H36" s="8"/>
      <c r="I36" s="8"/>
      <c r="J36" s="8"/>
      <c r="K36" s="8"/>
      <c r="L36" s="8"/>
      <c r="M36" s="8"/>
      <c r="N36" s="8"/>
      <c r="O36" s="8"/>
      <c r="P36" s="8"/>
      <c r="Q36" s="8"/>
      <c r="R36" s="8"/>
      <c r="S36" s="8"/>
      <c r="T36" s="8"/>
      <c r="U36" s="8"/>
      <c r="V36" s="8"/>
      <c r="W36" s="8"/>
      <c r="X36" s="8"/>
      <c r="Y36" s="8"/>
      <c r="Z36" s="8"/>
    </row>
    <row r="37" ht="22.5" customHeight="1">
      <c r="A37" s="7"/>
      <c r="B37" s="8" t="b">
        <v>0</v>
      </c>
      <c r="C37" s="8" t="s">
        <v>32</v>
      </c>
      <c r="D37" s="8"/>
      <c r="E37" s="8"/>
      <c r="F37" s="8"/>
      <c r="G37" s="8"/>
      <c r="H37" s="8"/>
      <c r="I37" s="8"/>
      <c r="J37" s="8"/>
      <c r="K37" s="8"/>
      <c r="L37" s="8"/>
      <c r="M37" s="8"/>
      <c r="N37" s="8"/>
      <c r="O37" s="8"/>
      <c r="P37" s="8"/>
      <c r="Q37" s="8"/>
      <c r="R37" s="8"/>
      <c r="S37" s="8"/>
      <c r="T37" s="8"/>
      <c r="U37" s="8"/>
      <c r="V37" s="8"/>
      <c r="W37" s="8"/>
      <c r="X37" s="8"/>
      <c r="Y37" s="8"/>
      <c r="Z37" s="8"/>
    </row>
    <row r="38" ht="22.5" customHeight="1">
      <c r="A38" s="7"/>
      <c r="B38" s="8" t="b">
        <v>0</v>
      </c>
      <c r="C38" s="8" t="s">
        <v>33</v>
      </c>
      <c r="D38" s="8"/>
      <c r="E38" s="8"/>
      <c r="F38" s="8"/>
      <c r="G38" s="8"/>
      <c r="H38" s="8"/>
      <c r="I38" s="8"/>
      <c r="J38" s="8"/>
      <c r="K38" s="8"/>
      <c r="L38" s="8"/>
      <c r="M38" s="8"/>
      <c r="N38" s="8"/>
      <c r="O38" s="8"/>
      <c r="P38" s="8"/>
      <c r="Q38" s="8"/>
      <c r="R38" s="8"/>
      <c r="S38" s="8"/>
      <c r="T38" s="8"/>
      <c r="U38" s="8"/>
      <c r="V38" s="8"/>
      <c r="W38" s="8"/>
      <c r="X38" s="8"/>
      <c r="Y38" s="8"/>
      <c r="Z38" s="8"/>
    </row>
    <row r="39" ht="22.5" customHeight="1">
      <c r="A39" s="7"/>
      <c r="B39" s="8" t="b">
        <v>0</v>
      </c>
      <c r="C39" s="8" t="s">
        <v>34</v>
      </c>
      <c r="D39" s="8"/>
      <c r="E39" s="8"/>
      <c r="F39" s="8"/>
      <c r="G39" s="8"/>
      <c r="H39" s="8"/>
      <c r="I39" s="8"/>
      <c r="J39" s="8"/>
      <c r="K39" s="8"/>
      <c r="L39" s="8"/>
      <c r="M39" s="8"/>
      <c r="N39" s="8"/>
      <c r="O39" s="8"/>
      <c r="P39" s="8"/>
      <c r="Q39" s="8"/>
      <c r="R39" s="8"/>
      <c r="S39" s="8"/>
      <c r="T39" s="8"/>
      <c r="U39" s="8"/>
      <c r="V39" s="8"/>
      <c r="W39" s="8"/>
      <c r="X39" s="8"/>
      <c r="Y39" s="8"/>
      <c r="Z39" s="8"/>
    </row>
    <row r="40" ht="22.5" customHeight="1">
      <c r="A40" s="7"/>
      <c r="B40" s="8" t="b">
        <v>0</v>
      </c>
      <c r="C40" s="8" t="s">
        <v>35</v>
      </c>
      <c r="D40" s="8"/>
      <c r="E40" s="8"/>
      <c r="F40" s="8"/>
      <c r="G40" s="8"/>
      <c r="H40" s="8"/>
      <c r="I40" s="8"/>
      <c r="J40" s="8"/>
      <c r="K40" s="8"/>
      <c r="L40" s="8"/>
      <c r="M40" s="8"/>
      <c r="N40" s="8"/>
      <c r="O40" s="8"/>
      <c r="P40" s="8"/>
      <c r="Q40" s="8"/>
      <c r="R40" s="8"/>
      <c r="S40" s="8"/>
      <c r="T40" s="8"/>
      <c r="U40" s="8"/>
      <c r="V40" s="8"/>
      <c r="W40" s="8"/>
      <c r="X40" s="8"/>
      <c r="Y40" s="8"/>
      <c r="Z40" s="8"/>
    </row>
    <row r="41" ht="22.5" customHeight="1">
      <c r="A41" s="7"/>
      <c r="B41" s="8" t="b">
        <v>0</v>
      </c>
      <c r="C41" s="8" t="s">
        <v>36</v>
      </c>
      <c r="D41" s="8"/>
      <c r="E41" s="8"/>
      <c r="F41" s="8"/>
      <c r="G41" s="8"/>
      <c r="H41" s="8"/>
      <c r="I41" s="8"/>
      <c r="J41" s="8"/>
      <c r="K41" s="8"/>
      <c r="L41" s="8"/>
      <c r="M41" s="8"/>
      <c r="N41" s="8"/>
      <c r="O41" s="8"/>
      <c r="P41" s="8"/>
      <c r="Q41" s="8"/>
      <c r="R41" s="8"/>
      <c r="S41" s="8"/>
      <c r="T41" s="8"/>
      <c r="U41" s="8"/>
      <c r="V41" s="8"/>
      <c r="W41" s="8"/>
      <c r="X41" s="8"/>
      <c r="Y41" s="8"/>
      <c r="Z41" s="8"/>
    </row>
    <row r="42" ht="22.5" customHeight="1">
      <c r="A42" s="7"/>
      <c r="B42" s="8" t="b">
        <v>0</v>
      </c>
      <c r="C42" s="8" t="s">
        <v>37</v>
      </c>
      <c r="D42" s="8"/>
      <c r="E42" s="8"/>
      <c r="F42" s="8"/>
      <c r="G42" s="8"/>
      <c r="H42" s="8"/>
      <c r="I42" s="8"/>
      <c r="J42" s="8"/>
      <c r="K42" s="8"/>
      <c r="L42" s="8"/>
      <c r="M42" s="8"/>
      <c r="N42" s="8"/>
      <c r="O42" s="8"/>
      <c r="P42" s="8"/>
      <c r="Q42" s="8"/>
      <c r="R42" s="8"/>
      <c r="S42" s="8"/>
      <c r="T42" s="8"/>
      <c r="U42" s="8"/>
      <c r="V42" s="8"/>
      <c r="W42" s="8"/>
      <c r="X42" s="8"/>
      <c r="Y42" s="8"/>
      <c r="Z42" s="8"/>
    </row>
    <row r="43" ht="22.5" customHeight="1">
      <c r="A43" s="7"/>
      <c r="B43" s="8" t="b">
        <v>0</v>
      </c>
      <c r="C43" s="8" t="s">
        <v>38</v>
      </c>
      <c r="D43" s="8"/>
      <c r="E43" s="8"/>
      <c r="F43" s="8"/>
      <c r="G43" s="8"/>
      <c r="H43" s="8"/>
      <c r="I43" s="8"/>
      <c r="J43" s="8"/>
      <c r="K43" s="8"/>
      <c r="L43" s="8"/>
      <c r="M43" s="8"/>
      <c r="N43" s="8"/>
      <c r="O43" s="8"/>
      <c r="P43" s="8"/>
      <c r="Q43" s="8"/>
      <c r="R43" s="8"/>
      <c r="S43" s="8"/>
      <c r="T43" s="8"/>
      <c r="U43" s="8"/>
      <c r="V43" s="8"/>
      <c r="W43" s="8"/>
      <c r="X43" s="8"/>
      <c r="Y43" s="8"/>
      <c r="Z43" s="8"/>
    </row>
    <row r="44" ht="22.5" customHeight="1">
      <c r="A44" s="7"/>
      <c r="B44" s="8" t="b">
        <v>0</v>
      </c>
      <c r="C44" s="8" t="s">
        <v>39</v>
      </c>
      <c r="D44" s="8"/>
      <c r="E44" s="8"/>
      <c r="F44" s="8"/>
      <c r="G44" s="8"/>
      <c r="H44" s="8"/>
      <c r="I44" s="8"/>
      <c r="J44" s="8"/>
      <c r="K44" s="8"/>
      <c r="L44" s="8"/>
      <c r="M44" s="8"/>
      <c r="N44" s="8"/>
      <c r="O44" s="8"/>
      <c r="P44" s="8"/>
      <c r="Q44" s="8"/>
      <c r="R44" s="8"/>
      <c r="S44" s="8"/>
      <c r="T44" s="8"/>
      <c r="U44" s="8"/>
      <c r="V44" s="8"/>
      <c r="W44" s="8"/>
      <c r="X44" s="8"/>
      <c r="Y44" s="8"/>
      <c r="Z44" s="8"/>
    </row>
    <row r="45" ht="22.5" customHeight="1">
      <c r="A45" s="7"/>
      <c r="B45" s="8"/>
      <c r="C45" s="8"/>
      <c r="D45" s="8"/>
      <c r="E45" s="8"/>
      <c r="F45" s="8"/>
      <c r="G45" s="8"/>
      <c r="H45" s="8"/>
      <c r="I45" s="8"/>
      <c r="J45" s="8"/>
      <c r="K45" s="8"/>
      <c r="L45" s="8"/>
      <c r="M45" s="8"/>
      <c r="N45" s="8"/>
      <c r="O45" s="8"/>
      <c r="P45" s="8"/>
      <c r="Q45" s="8"/>
      <c r="R45" s="8"/>
      <c r="S45" s="8"/>
      <c r="T45" s="8"/>
      <c r="U45" s="8"/>
      <c r="V45" s="8"/>
      <c r="W45" s="8"/>
      <c r="X45" s="8"/>
      <c r="Y45" s="8"/>
      <c r="Z45" s="8"/>
    </row>
    <row r="46" ht="22.5" customHeight="1">
      <c r="A46" s="7"/>
      <c r="B46" s="8"/>
      <c r="C46" s="8"/>
      <c r="D46" s="8"/>
      <c r="E46" s="8"/>
      <c r="F46" s="8"/>
      <c r="G46" s="8"/>
      <c r="H46" s="8"/>
      <c r="I46" s="8"/>
      <c r="J46" s="8"/>
      <c r="K46" s="8"/>
      <c r="L46" s="8"/>
      <c r="M46" s="8"/>
      <c r="N46" s="8"/>
      <c r="O46" s="8"/>
      <c r="P46" s="8"/>
      <c r="Q46" s="8"/>
      <c r="R46" s="8"/>
      <c r="S46" s="8"/>
      <c r="T46" s="8"/>
      <c r="U46" s="8"/>
      <c r="V46" s="8"/>
      <c r="W46" s="8"/>
      <c r="X46" s="8"/>
      <c r="Y46" s="8"/>
      <c r="Z46" s="8"/>
    </row>
    <row r="47" ht="37.5" customHeight="1">
      <c r="A47" s="7"/>
      <c r="B47" s="9" t="s">
        <v>40</v>
      </c>
      <c r="C47" s="10"/>
      <c r="D47" s="8"/>
      <c r="E47" s="8"/>
      <c r="F47" s="8"/>
      <c r="G47" s="8"/>
      <c r="H47" s="8"/>
      <c r="I47" s="8"/>
      <c r="J47" s="8"/>
      <c r="K47" s="8"/>
      <c r="L47" s="8"/>
      <c r="M47" s="8"/>
      <c r="N47" s="8"/>
      <c r="O47" s="8"/>
      <c r="P47" s="8"/>
      <c r="Q47" s="8"/>
      <c r="R47" s="8"/>
      <c r="S47" s="8"/>
      <c r="T47" s="8"/>
      <c r="U47" s="8"/>
      <c r="V47" s="8"/>
      <c r="W47" s="8"/>
      <c r="X47" s="8"/>
      <c r="Y47" s="8"/>
      <c r="Z47" s="8"/>
    </row>
    <row r="48" ht="22.5" customHeight="1">
      <c r="A48" s="7"/>
      <c r="B48" s="8" t="b">
        <v>0</v>
      </c>
      <c r="C48" s="8" t="s">
        <v>41</v>
      </c>
      <c r="E48" s="8"/>
      <c r="F48" s="8"/>
      <c r="G48" s="8"/>
      <c r="H48" s="8"/>
      <c r="I48" s="8"/>
      <c r="J48" s="8"/>
      <c r="K48" s="8"/>
      <c r="L48" s="8"/>
      <c r="M48" s="8"/>
      <c r="N48" s="8"/>
      <c r="O48" s="8"/>
      <c r="P48" s="8"/>
      <c r="Q48" s="8"/>
      <c r="R48" s="8"/>
      <c r="S48" s="8"/>
      <c r="T48" s="8"/>
      <c r="U48" s="8"/>
      <c r="V48" s="8"/>
      <c r="W48" s="8"/>
      <c r="X48" s="8"/>
      <c r="Y48" s="8"/>
      <c r="Z48" s="8"/>
    </row>
    <row r="49" ht="22.5" customHeight="1">
      <c r="A49" s="7"/>
      <c r="B49" s="8" t="b">
        <v>0</v>
      </c>
      <c r="C49" s="8" t="s">
        <v>42</v>
      </c>
      <c r="E49" s="8"/>
      <c r="F49" s="8"/>
      <c r="G49" s="8"/>
      <c r="H49" s="8"/>
      <c r="I49" s="8"/>
      <c r="J49" s="8"/>
      <c r="K49" s="8"/>
      <c r="L49" s="8"/>
      <c r="M49" s="8"/>
      <c r="N49" s="8"/>
      <c r="O49" s="8"/>
      <c r="P49" s="8"/>
      <c r="Q49" s="8"/>
      <c r="R49" s="8"/>
      <c r="S49" s="8"/>
      <c r="T49" s="8"/>
      <c r="U49" s="8"/>
      <c r="V49" s="8"/>
      <c r="W49" s="8"/>
      <c r="X49" s="8"/>
      <c r="Y49" s="8"/>
      <c r="Z49" s="8"/>
    </row>
    <row r="50" ht="22.5" customHeight="1">
      <c r="A50" s="7"/>
      <c r="B50" s="8" t="b">
        <v>0</v>
      </c>
      <c r="C50" s="8" t="s">
        <v>43</v>
      </c>
      <c r="E50" s="8"/>
      <c r="F50" s="8"/>
      <c r="G50" s="8"/>
      <c r="H50" s="8"/>
      <c r="I50" s="8"/>
      <c r="J50" s="8"/>
      <c r="K50" s="8"/>
      <c r="L50" s="8"/>
      <c r="M50" s="8"/>
      <c r="N50" s="8"/>
      <c r="O50" s="8"/>
      <c r="P50" s="8"/>
      <c r="Q50" s="8"/>
      <c r="R50" s="8"/>
      <c r="S50" s="8"/>
      <c r="T50" s="8"/>
      <c r="U50" s="8"/>
      <c r="V50" s="8"/>
      <c r="W50" s="8"/>
      <c r="X50" s="8"/>
      <c r="Y50" s="8"/>
      <c r="Z50" s="8"/>
    </row>
    <row r="51" ht="22.5" customHeight="1">
      <c r="A51" s="7"/>
      <c r="B51" s="8" t="b">
        <v>0</v>
      </c>
      <c r="C51" s="8" t="s">
        <v>44</v>
      </c>
      <c r="E51" s="8"/>
      <c r="F51" s="8"/>
      <c r="G51" s="8"/>
      <c r="H51" s="8"/>
      <c r="I51" s="8"/>
      <c r="J51" s="8"/>
      <c r="K51" s="8"/>
      <c r="L51" s="8"/>
      <c r="M51" s="8"/>
      <c r="N51" s="8"/>
      <c r="O51" s="8"/>
      <c r="P51" s="8"/>
      <c r="Q51" s="8"/>
      <c r="R51" s="8"/>
      <c r="S51" s="8"/>
      <c r="T51" s="8"/>
      <c r="U51" s="8"/>
      <c r="V51" s="8"/>
      <c r="W51" s="8"/>
      <c r="X51" s="8"/>
      <c r="Y51" s="8"/>
      <c r="Z51" s="8"/>
    </row>
    <row r="52" ht="22.5" customHeight="1">
      <c r="A52" s="7"/>
      <c r="B52" s="8" t="b">
        <v>0</v>
      </c>
      <c r="C52" s="8" t="s">
        <v>45</v>
      </c>
      <c r="E52" s="8"/>
      <c r="F52" s="8"/>
      <c r="G52" s="8"/>
      <c r="H52" s="8"/>
      <c r="I52" s="8"/>
      <c r="J52" s="8"/>
      <c r="K52" s="8"/>
      <c r="L52" s="8"/>
      <c r="M52" s="8"/>
      <c r="N52" s="8"/>
      <c r="O52" s="8"/>
      <c r="P52" s="8"/>
      <c r="Q52" s="8"/>
      <c r="R52" s="8"/>
      <c r="S52" s="8"/>
      <c r="T52" s="8"/>
      <c r="U52" s="8"/>
      <c r="V52" s="8"/>
      <c r="W52" s="8"/>
      <c r="X52" s="8"/>
      <c r="Y52" s="8"/>
      <c r="Z52" s="8"/>
    </row>
    <row r="53" ht="22.5" customHeight="1">
      <c r="A53" s="7"/>
      <c r="B53" s="8" t="b">
        <v>0</v>
      </c>
      <c r="C53" s="8" t="s">
        <v>46</v>
      </c>
      <c r="E53" s="8"/>
      <c r="F53" s="8"/>
      <c r="G53" s="8"/>
      <c r="H53" s="8"/>
      <c r="I53" s="8"/>
      <c r="J53" s="8"/>
      <c r="K53" s="8"/>
      <c r="L53" s="8"/>
      <c r="M53" s="8"/>
      <c r="N53" s="8"/>
      <c r="O53" s="8"/>
      <c r="P53" s="8"/>
      <c r="Q53" s="8"/>
      <c r="R53" s="8"/>
      <c r="S53" s="8"/>
      <c r="T53" s="8"/>
      <c r="U53" s="8"/>
      <c r="V53" s="8"/>
      <c r="W53" s="8"/>
      <c r="X53" s="8"/>
      <c r="Y53" s="8"/>
      <c r="Z53" s="8"/>
    </row>
    <row r="54" ht="22.5" customHeight="1">
      <c r="A54" s="7"/>
      <c r="B54" s="8"/>
      <c r="C54" s="8"/>
      <c r="E54" s="8"/>
      <c r="F54" s="8"/>
      <c r="G54" s="8"/>
      <c r="H54" s="8"/>
      <c r="I54" s="8"/>
      <c r="J54" s="8"/>
      <c r="K54" s="8"/>
      <c r="L54" s="8"/>
      <c r="M54" s="8"/>
      <c r="N54" s="8"/>
      <c r="O54" s="8"/>
      <c r="P54" s="8"/>
      <c r="Q54" s="8"/>
      <c r="R54" s="8"/>
      <c r="S54" s="8"/>
      <c r="T54" s="8"/>
      <c r="U54" s="8"/>
      <c r="V54" s="8"/>
      <c r="W54" s="8"/>
      <c r="X54" s="8"/>
      <c r="Y54" s="8"/>
      <c r="Z54" s="8"/>
    </row>
    <row r="55" ht="22.5" customHeight="1">
      <c r="A55" s="7"/>
      <c r="B55" s="8"/>
      <c r="C55" s="8"/>
      <c r="D55" s="8"/>
      <c r="E55" s="8"/>
      <c r="F55" s="8"/>
      <c r="G55" s="8"/>
      <c r="H55" s="8"/>
      <c r="I55" s="8"/>
      <c r="J55" s="8"/>
      <c r="K55" s="8"/>
      <c r="L55" s="8"/>
      <c r="M55" s="8"/>
      <c r="N55" s="8"/>
      <c r="O55" s="8"/>
      <c r="P55" s="8"/>
      <c r="Q55" s="8"/>
      <c r="R55" s="8"/>
      <c r="S55" s="8"/>
      <c r="T55" s="8"/>
      <c r="U55" s="8"/>
      <c r="V55" s="8"/>
      <c r="W55" s="8"/>
      <c r="X55" s="8"/>
      <c r="Y55" s="8"/>
      <c r="Z55" s="8"/>
    </row>
    <row r="56" ht="22.5" customHeight="1">
      <c r="A56" s="7"/>
      <c r="B56" s="8"/>
      <c r="C56" s="8"/>
      <c r="D56" s="8"/>
      <c r="E56" s="8"/>
      <c r="F56" s="8"/>
      <c r="G56" s="8"/>
      <c r="H56" s="8"/>
      <c r="I56" s="8"/>
      <c r="J56" s="8"/>
      <c r="K56" s="8"/>
      <c r="L56" s="8"/>
      <c r="M56" s="8"/>
      <c r="N56" s="8"/>
      <c r="O56" s="8"/>
      <c r="P56" s="8"/>
      <c r="Q56" s="8"/>
      <c r="R56" s="8"/>
      <c r="S56" s="8"/>
      <c r="T56" s="8"/>
      <c r="U56" s="8"/>
      <c r="V56" s="8"/>
      <c r="W56" s="8"/>
      <c r="X56" s="8"/>
      <c r="Y56" s="8"/>
      <c r="Z56" s="8"/>
    </row>
    <row r="57" ht="22.5" customHeight="1">
      <c r="A57" s="7"/>
      <c r="B57" s="8"/>
      <c r="C57" s="8"/>
      <c r="D57" s="8"/>
      <c r="E57" s="8"/>
      <c r="F57" s="8"/>
      <c r="G57" s="8"/>
      <c r="H57" s="8"/>
      <c r="I57" s="8"/>
      <c r="J57" s="8"/>
      <c r="K57" s="8"/>
      <c r="L57" s="8"/>
      <c r="M57" s="8"/>
      <c r="N57" s="8"/>
      <c r="O57" s="8"/>
      <c r="P57" s="8"/>
      <c r="Q57" s="8"/>
      <c r="R57" s="8"/>
      <c r="S57" s="8"/>
      <c r="T57" s="8"/>
      <c r="U57" s="8"/>
      <c r="V57" s="8"/>
      <c r="W57" s="8"/>
      <c r="X57" s="8"/>
      <c r="Y57" s="8"/>
      <c r="Z57" s="8"/>
    </row>
    <row r="58" ht="22.5" customHeight="1">
      <c r="A58" s="7"/>
      <c r="B58" s="8"/>
      <c r="C58" s="8"/>
      <c r="D58" s="8"/>
      <c r="E58" s="8"/>
      <c r="F58" s="8"/>
      <c r="G58" s="8"/>
      <c r="H58" s="8"/>
      <c r="I58" s="8"/>
      <c r="J58" s="8"/>
      <c r="K58" s="8"/>
      <c r="L58" s="8"/>
      <c r="M58" s="8"/>
      <c r="N58" s="8"/>
      <c r="O58" s="8"/>
      <c r="P58" s="8"/>
      <c r="Q58" s="8"/>
      <c r="R58" s="8"/>
      <c r="S58" s="8"/>
      <c r="T58" s="8"/>
      <c r="U58" s="8"/>
      <c r="V58" s="8"/>
      <c r="W58" s="8"/>
      <c r="X58" s="8"/>
      <c r="Y58" s="8"/>
      <c r="Z58" s="8"/>
    </row>
    <row r="59" ht="22.5" customHeight="1">
      <c r="A59" s="7"/>
      <c r="B59" s="8"/>
      <c r="C59" s="8"/>
      <c r="D59" s="8"/>
      <c r="E59" s="8"/>
      <c r="F59" s="8"/>
      <c r="G59" s="8"/>
      <c r="H59" s="8"/>
      <c r="I59" s="8"/>
      <c r="J59" s="8"/>
      <c r="K59" s="8"/>
      <c r="L59" s="8"/>
      <c r="M59" s="8"/>
      <c r="N59" s="8"/>
      <c r="O59" s="8"/>
      <c r="P59" s="8"/>
      <c r="Q59" s="8"/>
      <c r="R59" s="8"/>
      <c r="S59" s="8"/>
      <c r="T59" s="8"/>
      <c r="U59" s="8"/>
      <c r="V59" s="8"/>
      <c r="W59" s="8"/>
      <c r="X59" s="8"/>
      <c r="Y59" s="8"/>
      <c r="Z59" s="8"/>
    </row>
    <row r="60" ht="22.5" customHeight="1">
      <c r="A60" s="7"/>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7"/>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7"/>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7"/>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7"/>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7"/>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7"/>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7"/>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7"/>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7"/>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7"/>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7"/>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7"/>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7"/>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7"/>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7"/>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7"/>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7"/>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7"/>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7"/>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7"/>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7"/>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7"/>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7"/>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7"/>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7"/>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7"/>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7"/>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7"/>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7"/>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7"/>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7"/>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7"/>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7"/>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7"/>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7"/>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7"/>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7"/>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7"/>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7"/>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7"/>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7"/>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7"/>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7"/>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7"/>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7"/>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7"/>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7"/>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7"/>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7"/>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7"/>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7"/>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7"/>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7"/>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7"/>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7"/>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7"/>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7"/>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7"/>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7"/>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7"/>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7"/>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7"/>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7"/>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7"/>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7"/>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7"/>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7"/>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7"/>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7"/>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7"/>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7"/>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7"/>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7"/>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7"/>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7"/>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7"/>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7"/>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7"/>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7"/>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7"/>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7"/>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7"/>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7"/>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7"/>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7"/>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7"/>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7"/>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7"/>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7"/>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7"/>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7"/>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7"/>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7"/>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7"/>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7"/>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7"/>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7"/>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7"/>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7"/>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7"/>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7"/>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7"/>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7"/>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7"/>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7"/>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7"/>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7"/>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7"/>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7"/>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7"/>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7"/>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7"/>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7"/>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7"/>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7"/>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7"/>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7"/>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7"/>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7"/>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7"/>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7"/>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7"/>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7"/>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7"/>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7"/>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7"/>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7"/>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7"/>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7"/>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7"/>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7"/>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7"/>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7"/>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7"/>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7"/>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7"/>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7"/>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7"/>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7"/>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7"/>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7"/>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7"/>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7"/>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7"/>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7"/>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7"/>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7"/>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7"/>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7"/>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7"/>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7"/>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7"/>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7"/>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7"/>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7"/>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7"/>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7"/>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7"/>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7"/>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7"/>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7"/>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7"/>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7"/>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7"/>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7"/>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7"/>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7"/>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7"/>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7"/>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7"/>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7"/>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7"/>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7"/>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7"/>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7"/>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7"/>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7"/>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7"/>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7"/>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7"/>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7"/>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7"/>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7"/>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7"/>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7"/>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7"/>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H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sheetPr>
  <sheetViews>
    <sheetView showGridLines="0" workbookViewId="0"/>
  </sheetViews>
  <sheetFormatPr customHeight="1" defaultColWidth="12.63" defaultRowHeight="15.0"/>
  <cols>
    <col customWidth="1" min="1" max="1" width="12.63"/>
    <col customWidth="1" min="2" max="2" width="50.13"/>
    <col customWidth="1" min="3" max="3" width="25.13"/>
    <col customWidth="1" min="4" max="4" width="59.63"/>
    <col customWidth="1" min="5" max="5" width="6.38"/>
    <col customWidth="1" min="6" max="6" width="17.75"/>
    <col customWidth="1" min="7" max="7" width="18.88"/>
  </cols>
  <sheetData>
    <row r="1" ht="37.5" customHeight="1">
      <c r="A1" s="11"/>
      <c r="B1" s="11"/>
      <c r="C1" s="11"/>
      <c r="D1" s="11"/>
      <c r="E1" s="11"/>
      <c r="F1" s="11"/>
      <c r="G1" s="11"/>
      <c r="H1" s="11"/>
      <c r="I1" s="11"/>
      <c r="J1" s="11"/>
      <c r="K1" s="11"/>
      <c r="L1" s="11"/>
      <c r="M1" s="11"/>
      <c r="N1" s="11"/>
      <c r="O1" s="11"/>
      <c r="P1" s="11"/>
      <c r="Q1" s="11"/>
      <c r="R1" s="11"/>
      <c r="S1" s="11"/>
      <c r="T1" s="11"/>
      <c r="U1" s="11"/>
      <c r="V1" s="11"/>
      <c r="W1" s="11"/>
      <c r="X1" s="11"/>
      <c r="Y1" s="11"/>
      <c r="Z1" s="11"/>
    </row>
    <row r="2" ht="37.5" customHeight="1">
      <c r="A2" s="11"/>
      <c r="B2" s="12" t="s">
        <v>47</v>
      </c>
      <c r="C2" s="13"/>
      <c r="D2" s="11"/>
      <c r="E2" s="11"/>
      <c r="F2" s="11"/>
      <c r="G2" s="11"/>
      <c r="H2" s="11"/>
      <c r="I2" s="11"/>
      <c r="J2" s="11"/>
      <c r="K2" s="11"/>
      <c r="L2" s="11"/>
      <c r="M2" s="11"/>
      <c r="N2" s="11"/>
      <c r="O2" s="11"/>
      <c r="P2" s="11"/>
      <c r="Q2" s="11"/>
      <c r="R2" s="11"/>
      <c r="S2" s="11"/>
      <c r="T2" s="11"/>
      <c r="U2" s="11"/>
      <c r="V2" s="11"/>
      <c r="W2" s="11"/>
      <c r="X2" s="11"/>
      <c r="Y2" s="11"/>
      <c r="Z2" s="11"/>
    </row>
    <row r="3" ht="37.5" customHeight="1">
      <c r="A3" s="11"/>
      <c r="B3" s="14" t="s">
        <v>48</v>
      </c>
      <c r="C3" s="15">
        <v>26500.0</v>
      </c>
      <c r="D3" s="11"/>
      <c r="E3" s="11"/>
      <c r="F3" s="11"/>
      <c r="G3" s="11"/>
      <c r="H3" s="11"/>
      <c r="I3" s="11"/>
      <c r="J3" s="11"/>
      <c r="K3" s="11"/>
      <c r="L3" s="11"/>
      <c r="M3" s="11"/>
      <c r="N3" s="11"/>
      <c r="O3" s="11"/>
      <c r="P3" s="11"/>
      <c r="Q3" s="11"/>
      <c r="R3" s="11"/>
      <c r="S3" s="11"/>
      <c r="T3" s="11"/>
      <c r="U3" s="11"/>
      <c r="V3" s="11"/>
      <c r="W3" s="11"/>
      <c r="X3" s="11"/>
      <c r="Y3" s="11"/>
      <c r="Z3" s="11"/>
    </row>
    <row r="4" ht="37.5" customHeight="1">
      <c r="A4" s="11"/>
      <c r="B4" s="14" t="s">
        <v>49</v>
      </c>
      <c r="C4" s="15">
        <v>5179.0</v>
      </c>
      <c r="D4" s="11"/>
      <c r="E4" s="11"/>
      <c r="F4" s="11"/>
      <c r="G4" s="11"/>
      <c r="H4" s="11"/>
      <c r="I4" s="11"/>
      <c r="J4" s="11"/>
      <c r="K4" s="11"/>
      <c r="L4" s="11"/>
      <c r="M4" s="11"/>
      <c r="N4" s="11"/>
      <c r="O4" s="11"/>
      <c r="P4" s="11"/>
      <c r="Q4" s="11"/>
      <c r="R4" s="11"/>
      <c r="S4" s="11"/>
      <c r="T4" s="11"/>
      <c r="U4" s="11"/>
      <c r="V4" s="11"/>
      <c r="W4" s="11"/>
      <c r="X4" s="11"/>
      <c r="Y4" s="11"/>
      <c r="Z4" s="11"/>
    </row>
    <row r="5" ht="37.5" customHeight="1">
      <c r="A5" s="11"/>
      <c r="B5" s="14" t="s">
        <v>50</v>
      </c>
      <c r="C5" s="15">
        <v>2220.0</v>
      </c>
      <c r="D5" s="11"/>
      <c r="E5" s="11"/>
      <c r="F5" s="11"/>
      <c r="G5" s="11"/>
      <c r="H5" s="11"/>
      <c r="I5" s="11"/>
      <c r="J5" s="11"/>
      <c r="K5" s="11"/>
      <c r="L5" s="11"/>
      <c r="M5" s="11"/>
      <c r="N5" s="11"/>
      <c r="O5" s="11"/>
      <c r="P5" s="11"/>
      <c r="Q5" s="11"/>
      <c r="R5" s="11"/>
      <c r="S5" s="11"/>
      <c r="T5" s="11"/>
      <c r="U5" s="11"/>
      <c r="V5" s="11"/>
      <c r="W5" s="11"/>
      <c r="X5" s="11"/>
      <c r="Y5" s="11"/>
      <c r="Z5" s="11"/>
    </row>
    <row r="6" ht="37.5" customHeight="1">
      <c r="A6" s="11"/>
      <c r="B6" s="14" t="s">
        <v>51</v>
      </c>
      <c r="C6" s="15">
        <v>0.0</v>
      </c>
      <c r="D6" s="11"/>
      <c r="E6" s="11"/>
      <c r="F6" s="11"/>
      <c r="G6" s="11"/>
      <c r="H6" s="11"/>
      <c r="I6" s="11"/>
      <c r="J6" s="11"/>
      <c r="K6" s="11"/>
      <c r="L6" s="11"/>
      <c r="M6" s="11"/>
      <c r="N6" s="11"/>
      <c r="O6" s="11"/>
      <c r="P6" s="11"/>
      <c r="Q6" s="11"/>
      <c r="R6" s="11"/>
      <c r="S6" s="11"/>
      <c r="T6" s="11"/>
      <c r="U6" s="11"/>
      <c r="V6" s="11"/>
      <c r="W6" s="11"/>
      <c r="X6" s="11"/>
      <c r="Y6" s="11"/>
      <c r="Z6" s="11"/>
    </row>
    <row r="7" ht="37.5" customHeight="1">
      <c r="A7" s="11"/>
      <c r="B7" s="14" t="s">
        <v>52</v>
      </c>
      <c r="C7" s="15">
        <v>0.0</v>
      </c>
      <c r="D7" s="11"/>
      <c r="E7" s="11"/>
      <c r="F7" s="11"/>
      <c r="G7" s="11"/>
      <c r="H7" s="11"/>
      <c r="I7" s="11"/>
      <c r="J7" s="11"/>
      <c r="K7" s="11"/>
      <c r="L7" s="11"/>
      <c r="M7" s="11"/>
      <c r="N7" s="11"/>
      <c r="O7" s="11"/>
      <c r="P7" s="11"/>
      <c r="Q7" s="11"/>
      <c r="R7" s="11"/>
      <c r="S7" s="11"/>
      <c r="T7" s="11"/>
      <c r="U7" s="11"/>
      <c r="V7" s="11"/>
      <c r="W7" s="11"/>
      <c r="X7" s="11"/>
      <c r="Y7" s="11"/>
      <c r="Z7" s="11"/>
    </row>
    <row r="8" ht="37.5" customHeight="1">
      <c r="A8" s="11"/>
      <c r="B8" s="11"/>
      <c r="C8" s="11"/>
      <c r="D8" s="11"/>
      <c r="E8" s="11"/>
      <c r="F8" s="11"/>
      <c r="G8" s="11"/>
      <c r="H8" s="11"/>
      <c r="I8" s="11"/>
      <c r="J8" s="11"/>
      <c r="K8" s="11"/>
      <c r="L8" s="11"/>
      <c r="M8" s="11"/>
      <c r="N8" s="11"/>
      <c r="O8" s="11"/>
      <c r="P8" s="11"/>
      <c r="Q8" s="11"/>
      <c r="R8" s="11"/>
      <c r="S8" s="11"/>
      <c r="T8" s="11"/>
      <c r="U8" s="11"/>
      <c r="V8" s="11"/>
      <c r="W8" s="11"/>
      <c r="X8" s="11"/>
      <c r="Y8" s="11"/>
      <c r="Z8" s="11"/>
    </row>
    <row r="9" ht="37.5" customHeight="1">
      <c r="A9" s="11"/>
      <c r="B9" s="12" t="s">
        <v>53</v>
      </c>
      <c r="C9" s="13"/>
      <c r="D9" s="11"/>
      <c r="E9" s="11"/>
      <c r="F9" s="11"/>
      <c r="G9" s="11"/>
      <c r="H9" s="11"/>
      <c r="I9" s="11"/>
      <c r="J9" s="11"/>
      <c r="K9" s="11"/>
      <c r="L9" s="11"/>
      <c r="M9" s="11"/>
      <c r="N9" s="11"/>
      <c r="O9" s="11"/>
      <c r="P9" s="11"/>
      <c r="Q9" s="11"/>
      <c r="R9" s="11"/>
      <c r="S9" s="11"/>
      <c r="T9" s="11"/>
      <c r="U9" s="11"/>
      <c r="V9" s="11"/>
      <c r="W9" s="11"/>
      <c r="X9" s="11"/>
      <c r="Y9" s="11"/>
      <c r="Z9" s="11"/>
    </row>
    <row r="10" ht="37.5" customHeight="1">
      <c r="A10" s="11"/>
      <c r="B10" s="14" t="s">
        <v>54</v>
      </c>
      <c r="C10" s="15">
        <f>C30*0.05</f>
        <v>13094.88308</v>
      </c>
      <c r="D10" s="11"/>
      <c r="E10" s="13" t="s">
        <v>55</v>
      </c>
      <c r="G10" s="11"/>
      <c r="H10" s="11"/>
      <c r="I10" s="11"/>
      <c r="J10" s="11"/>
      <c r="K10" s="11"/>
      <c r="L10" s="11"/>
      <c r="M10" s="11"/>
      <c r="N10" s="11"/>
      <c r="O10" s="11"/>
      <c r="P10" s="11"/>
      <c r="Q10" s="11"/>
      <c r="R10" s="11"/>
      <c r="S10" s="11"/>
      <c r="T10" s="11"/>
      <c r="U10" s="11"/>
      <c r="V10" s="11"/>
      <c r="W10" s="11"/>
      <c r="X10" s="11"/>
      <c r="Y10" s="11"/>
      <c r="Z10" s="11"/>
    </row>
    <row r="11" ht="37.5" customHeight="1">
      <c r="A11" s="11"/>
      <c r="B11" s="14" t="s">
        <v>56</v>
      </c>
      <c r="C11" s="16">
        <f>E11/2</f>
        <v>2250</v>
      </c>
      <c r="D11" s="17"/>
      <c r="E11" s="18">
        <v>4500.0</v>
      </c>
      <c r="F11" s="19"/>
      <c r="G11" s="20" t="s">
        <v>57</v>
      </c>
      <c r="H11" s="11"/>
      <c r="I11" s="11"/>
      <c r="J11" s="11"/>
      <c r="K11" s="11"/>
      <c r="L11" s="11"/>
      <c r="M11" s="11"/>
      <c r="N11" s="11"/>
      <c r="O11" s="11"/>
      <c r="P11" s="11"/>
      <c r="Q11" s="11"/>
      <c r="R11" s="11"/>
      <c r="S11" s="11"/>
      <c r="T11" s="11"/>
      <c r="U11" s="11"/>
      <c r="V11" s="11"/>
      <c r="W11" s="11"/>
      <c r="X11" s="11"/>
      <c r="Y11" s="11"/>
      <c r="Z11" s="11"/>
    </row>
    <row r="12" ht="37.5" customHeight="1">
      <c r="A12" s="11"/>
      <c r="B12" s="14" t="s">
        <v>58</v>
      </c>
      <c r="C12" s="16">
        <f>E11/2</f>
        <v>2250</v>
      </c>
      <c r="D12" s="11"/>
      <c r="E12" s="21"/>
      <c r="F12" s="22"/>
      <c r="G12" s="23" t="s">
        <v>59</v>
      </c>
      <c r="H12" s="11"/>
      <c r="I12" s="11"/>
      <c r="J12" s="11"/>
      <c r="K12" s="11"/>
      <c r="L12" s="11"/>
      <c r="M12" s="11"/>
      <c r="N12" s="11"/>
      <c r="O12" s="11"/>
      <c r="P12" s="11"/>
      <c r="Q12" s="11"/>
      <c r="R12" s="11"/>
      <c r="S12" s="11"/>
      <c r="T12" s="11"/>
      <c r="U12" s="11"/>
      <c r="V12" s="11"/>
      <c r="W12" s="11"/>
      <c r="X12" s="11"/>
      <c r="Y12" s="11"/>
      <c r="Z12" s="11"/>
    </row>
    <row r="13" ht="37.5" customHeight="1">
      <c r="A13" s="11"/>
      <c r="B13" s="14" t="s">
        <v>60</v>
      </c>
      <c r="C13" s="16">
        <f>(DATA!C27/100)*5.65</f>
        <v>2661.15</v>
      </c>
      <c r="D13" s="11"/>
      <c r="E13" s="11"/>
      <c r="F13" s="11"/>
      <c r="G13" s="11"/>
      <c r="H13" s="11"/>
      <c r="I13" s="11"/>
      <c r="J13" s="11"/>
      <c r="K13" s="11"/>
      <c r="L13" s="11"/>
      <c r="M13" s="11"/>
      <c r="N13" s="11"/>
      <c r="O13" s="11"/>
      <c r="P13" s="11"/>
      <c r="Q13" s="11"/>
      <c r="R13" s="11"/>
      <c r="S13" s="11"/>
      <c r="T13" s="11"/>
      <c r="U13" s="11"/>
      <c r="V13" s="11"/>
      <c r="W13" s="11"/>
      <c r="X13" s="11"/>
      <c r="Y13" s="11"/>
      <c r="Z13" s="11"/>
    </row>
    <row r="14" ht="37.5" customHeight="1">
      <c r="A14" s="11"/>
      <c r="B14" s="14" t="s">
        <v>61</v>
      </c>
      <c r="C14" s="24">
        <v>75.0</v>
      </c>
      <c r="D14" s="11"/>
      <c r="E14" s="11"/>
      <c r="F14" s="11"/>
      <c r="G14" s="11"/>
      <c r="H14" s="11"/>
      <c r="I14" s="11"/>
      <c r="J14" s="11"/>
      <c r="K14" s="11"/>
      <c r="L14" s="11"/>
      <c r="M14" s="11"/>
      <c r="N14" s="11"/>
      <c r="O14" s="11"/>
      <c r="P14" s="11"/>
      <c r="Q14" s="11"/>
      <c r="R14" s="11"/>
      <c r="S14" s="11"/>
      <c r="T14" s="11"/>
      <c r="U14" s="11"/>
      <c r="V14" s="11"/>
      <c r="W14" s="11"/>
      <c r="X14" s="11"/>
      <c r="Y14" s="11"/>
      <c r="Z14" s="11"/>
    </row>
    <row r="15" ht="37.5" customHeight="1">
      <c r="A15" s="11"/>
      <c r="B15" s="14" t="s">
        <v>62</v>
      </c>
      <c r="C15" s="16">
        <f>SUM('PROJECT ESTIMATE'!F26:F27)*0.00635</f>
        <v>2898.633151</v>
      </c>
      <c r="D15" s="11"/>
      <c r="E15" s="11"/>
      <c r="F15" s="11"/>
      <c r="G15" s="11"/>
      <c r="H15" s="11"/>
      <c r="I15" s="11"/>
      <c r="J15" s="11"/>
      <c r="K15" s="11"/>
      <c r="L15" s="11"/>
      <c r="M15" s="11"/>
      <c r="N15" s="11"/>
      <c r="O15" s="11"/>
      <c r="P15" s="11"/>
      <c r="Q15" s="11"/>
      <c r="R15" s="11"/>
      <c r="S15" s="11"/>
      <c r="T15" s="11"/>
      <c r="U15" s="11"/>
      <c r="V15" s="11"/>
      <c r="W15" s="11"/>
      <c r="X15" s="11"/>
      <c r="Y15" s="11"/>
      <c r="Z15" s="11"/>
    </row>
    <row r="16" ht="37.5" customHeight="1">
      <c r="A16" s="11"/>
      <c r="B16" s="14" t="s">
        <v>63</v>
      </c>
      <c r="C16" s="25">
        <v>300.0</v>
      </c>
      <c r="D16" s="11"/>
      <c r="E16" s="11"/>
      <c r="F16" s="11"/>
      <c r="G16" s="11"/>
      <c r="H16" s="11"/>
      <c r="I16" s="11"/>
      <c r="J16" s="11"/>
      <c r="K16" s="11"/>
      <c r="L16" s="11"/>
      <c r="M16" s="11"/>
      <c r="N16" s="11"/>
      <c r="O16" s="11"/>
      <c r="P16" s="11"/>
      <c r="Q16" s="11"/>
      <c r="R16" s="11"/>
      <c r="S16" s="11"/>
      <c r="T16" s="11"/>
      <c r="U16" s="11"/>
      <c r="V16" s="11"/>
      <c r="W16" s="11"/>
      <c r="X16" s="11"/>
      <c r="Y16" s="11"/>
      <c r="Z16" s="11"/>
    </row>
    <row r="17" ht="37.5" customHeight="1">
      <c r="A17" s="11"/>
      <c r="B17" s="14" t="s">
        <v>64</v>
      </c>
      <c r="C17" s="24">
        <v>0.0</v>
      </c>
      <c r="D17" s="11"/>
      <c r="E17" s="11"/>
      <c r="F17" s="11"/>
      <c r="G17" s="11"/>
      <c r="H17" s="11"/>
      <c r="I17" s="11"/>
      <c r="J17" s="11"/>
      <c r="K17" s="11"/>
      <c r="L17" s="11"/>
      <c r="M17" s="11"/>
      <c r="N17" s="11"/>
      <c r="O17" s="11"/>
      <c r="P17" s="11"/>
      <c r="Q17" s="11"/>
      <c r="R17" s="11"/>
      <c r="S17" s="11"/>
      <c r="T17" s="11"/>
      <c r="U17" s="11"/>
      <c r="V17" s="11"/>
      <c r="W17" s="11"/>
      <c r="X17" s="11"/>
      <c r="Y17" s="11"/>
      <c r="Z17" s="11"/>
    </row>
    <row r="18" ht="37.5" customHeight="1">
      <c r="A18" s="11"/>
      <c r="B18" s="14" t="s">
        <v>65</v>
      </c>
      <c r="C18" s="15">
        <v>9000.0</v>
      </c>
      <c r="D18" s="11"/>
      <c r="E18" s="11"/>
      <c r="F18" s="11"/>
      <c r="G18" s="11"/>
      <c r="H18" s="11"/>
      <c r="I18" s="11"/>
      <c r="J18" s="11"/>
      <c r="K18" s="11"/>
      <c r="L18" s="11"/>
      <c r="M18" s="11"/>
      <c r="N18" s="11"/>
      <c r="O18" s="11"/>
      <c r="P18" s="11"/>
      <c r="Q18" s="11"/>
      <c r="R18" s="11"/>
      <c r="S18" s="11"/>
      <c r="T18" s="11"/>
      <c r="U18" s="11"/>
      <c r="V18" s="11"/>
      <c r="W18" s="11"/>
      <c r="X18" s="11"/>
      <c r="Y18" s="11"/>
      <c r="Z18" s="11"/>
    </row>
    <row r="19" ht="3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37.5" customHeight="1">
      <c r="A20" s="11"/>
      <c r="B20" s="12" t="s">
        <v>11</v>
      </c>
      <c r="C20" s="13"/>
      <c r="D20" s="13"/>
      <c r="E20" s="13"/>
      <c r="H20" s="11"/>
      <c r="I20" s="11"/>
      <c r="J20" s="11"/>
      <c r="K20" s="11"/>
      <c r="L20" s="11"/>
      <c r="M20" s="11"/>
      <c r="N20" s="11"/>
      <c r="O20" s="11"/>
      <c r="P20" s="11"/>
      <c r="Q20" s="11"/>
      <c r="R20" s="11"/>
      <c r="S20" s="11"/>
      <c r="T20" s="11"/>
      <c r="U20" s="11"/>
      <c r="V20" s="11"/>
      <c r="W20" s="11"/>
      <c r="X20" s="11"/>
      <c r="Y20" s="11"/>
      <c r="Z20" s="11"/>
    </row>
    <row r="21" ht="37.5" customHeight="1">
      <c r="A21" s="11"/>
      <c r="B21" s="14" t="s">
        <v>66</v>
      </c>
      <c r="C21" s="26">
        <v>3.0</v>
      </c>
      <c r="D21" s="27"/>
      <c r="E21" s="27"/>
      <c r="H21" s="11"/>
      <c r="I21" s="11"/>
      <c r="J21" s="11"/>
      <c r="K21" s="11"/>
      <c r="L21" s="11"/>
      <c r="M21" s="11"/>
      <c r="N21" s="11"/>
      <c r="O21" s="11"/>
      <c r="P21" s="11"/>
      <c r="Q21" s="11"/>
      <c r="R21" s="11"/>
      <c r="S21" s="11"/>
      <c r="T21" s="11"/>
      <c r="U21" s="11"/>
      <c r="V21" s="11"/>
      <c r="W21" s="11"/>
      <c r="X21" s="11"/>
      <c r="Y21" s="11"/>
      <c r="Z21" s="11"/>
    </row>
    <row r="22" ht="37.5" customHeight="1">
      <c r="A22" s="11"/>
      <c r="B22" s="14" t="s">
        <v>67</v>
      </c>
      <c r="C22" s="26">
        <v>1.2</v>
      </c>
      <c r="D22" s="28"/>
      <c r="E22" s="27"/>
      <c r="H22" s="11"/>
      <c r="I22" s="11"/>
      <c r="J22" s="11"/>
      <c r="K22" s="11"/>
      <c r="L22" s="11"/>
      <c r="M22" s="11"/>
      <c r="N22" s="11"/>
      <c r="O22" s="11"/>
      <c r="P22" s="11"/>
      <c r="Q22" s="11"/>
      <c r="R22" s="11"/>
      <c r="S22" s="11"/>
      <c r="T22" s="11"/>
      <c r="U22" s="11"/>
      <c r="V22" s="11"/>
      <c r="W22" s="11"/>
      <c r="X22" s="11"/>
      <c r="Y22" s="11"/>
      <c r="Z22" s="11"/>
    </row>
    <row r="23" ht="37.5" customHeight="1">
      <c r="A23" s="11"/>
      <c r="B23" s="14" t="s">
        <v>68</v>
      </c>
      <c r="C23" s="29">
        <f>IFERROR(VLOOKUP('PROJECT ESTIMATE'!C13,DATA!B35:C38,2,FALSE),"-")</f>
        <v>1.15</v>
      </c>
      <c r="D23" s="27"/>
      <c r="E23" s="27"/>
      <c r="H23" s="11"/>
      <c r="I23" s="11"/>
      <c r="J23" s="11"/>
      <c r="K23" s="11"/>
      <c r="L23" s="11"/>
      <c r="M23" s="11"/>
      <c r="N23" s="11"/>
      <c r="O23" s="11"/>
      <c r="P23" s="11"/>
      <c r="Q23" s="11"/>
      <c r="R23" s="11"/>
      <c r="S23" s="11"/>
      <c r="T23" s="11"/>
      <c r="U23" s="11"/>
      <c r="V23" s="11"/>
      <c r="W23" s="11"/>
      <c r="X23" s="11"/>
      <c r="Y23" s="11"/>
      <c r="Z23" s="11"/>
    </row>
    <row r="24" ht="37.5" customHeight="1">
      <c r="A24" s="11"/>
      <c r="B24" s="14" t="s">
        <v>69</v>
      </c>
      <c r="C24" s="16">
        <f>IFERROR(VLOOKUP(B24,'EXTERIOR &amp; ADD-ONS'!B3:F20,4,FALSE),"-")</f>
        <v>55000</v>
      </c>
      <c r="D24" s="27"/>
      <c r="E24" s="27"/>
      <c r="H24" s="11"/>
      <c r="I24" s="11"/>
      <c r="J24" s="11"/>
      <c r="K24" s="11"/>
      <c r="L24" s="11"/>
      <c r="M24" s="11"/>
      <c r="N24" s="11"/>
      <c r="O24" s="11"/>
      <c r="P24" s="11"/>
      <c r="Q24" s="11"/>
      <c r="R24" s="11"/>
      <c r="S24" s="11"/>
      <c r="T24" s="11"/>
      <c r="U24" s="11"/>
      <c r="V24" s="11"/>
      <c r="W24" s="11"/>
      <c r="X24" s="11"/>
      <c r="Y24" s="11"/>
      <c r="Z24" s="11"/>
    </row>
    <row r="25" ht="37.5" customHeight="1">
      <c r="A25" s="11"/>
      <c r="B25" s="14" t="s">
        <v>70</v>
      </c>
      <c r="C25" s="16">
        <f>IFERROR(VLOOKUP(B25,'EXTERIOR &amp; ADD-ONS'!B4:F21,4,FALSE),"-")</f>
        <v>40000</v>
      </c>
      <c r="D25" s="27"/>
      <c r="E25" s="27"/>
      <c r="H25" s="11"/>
      <c r="I25" s="11"/>
      <c r="J25" s="11"/>
      <c r="K25" s="11"/>
      <c r="L25" s="11"/>
      <c r="M25" s="11"/>
      <c r="N25" s="11"/>
      <c r="O25" s="11"/>
      <c r="P25" s="11"/>
      <c r="Q25" s="11"/>
      <c r="R25" s="11"/>
      <c r="S25" s="11"/>
      <c r="T25" s="11"/>
      <c r="U25" s="11"/>
      <c r="V25" s="11"/>
      <c r="W25" s="11"/>
      <c r="X25" s="11"/>
      <c r="Y25" s="11"/>
      <c r="Z25" s="11"/>
    </row>
    <row r="26" ht="37.5" customHeight="1">
      <c r="A26" s="11"/>
      <c r="B26" s="14" t="s">
        <v>71</v>
      </c>
      <c r="C26" s="16">
        <f>SUMIF('PRODUCT PHASES 1-5'!$F$1:$J$90,"Subcontracted",'PRODUCT PHASES 1-5'!$J$1:$J$90)</f>
        <v>126700</v>
      </c>
      <c r="D26" s="27"/>
      <c r="E26" s="27"/>
      <c r="H26" s="11"/>
      <c r="I26" s="11"/>
      <c r="J26" s="11"/>
      <c r="K26" s="11"/>
      <c r="L26" s="11"/>
      <c r="M26" s="11"/>
      <c r="N26" s="11"/>
      <c r="O26" s="11"/>
      <c r="P26" s="11"/>
      <c r="Q26" s="11"/>
      <c r="R26" s="11"/>
      <c r="S26" s="11"/>
      <c r="T26" s="11"/>
      <c r="U26" s="11"/>
      <c r="V26" s="11"/>
      <c r="W26" s="11"/>
      <c r="X26" s="11"/>
      <c r="Y26" s="11"/>
      <c r="Z26" s="11"/>
    </row>
    <row r="27" ht="37.5" customHeight="1">
      <c r="A27" s="11"/>
      <c r="B27" s="14" t="s">
        <v>72</v>
      </c>
      <c r="C27" s="16">
        <f>SUMIF('PRODUCT PHASES 1-5'!$F$1:$J$90,"Labor",'PRODUCT PHASES 1-5'!$J$1:$J$90)</f>
        <v>47100</v>
      </c>
      <c r="D27" s="27"/>
      <c r="E27" s="27"/>
      <c r="H27" s="11"/>
      <c r="I27" s="11"/>
      <c r="J27" s="11"/>
      <c r="K27" s="11"/>
      <c r="L27" s="11"/>
      <c r="M27" s="11"/>
      <c r="N27" s="11"/>
      <c r="O27" s="11"/>
      <c r="P27" s="11"/>
      <c r="Q27" s="11"/>
      <c r="R27" s="11"/>
      <c r="S27" s="11"/>
      <c r="T27" s="11"/>
      <c r="U27" s="11"/>
      <c r="V27" s="11"/>
      <c r="W27" s="11"/>
      <c r="X27" s="11"/>
      <c r="Y27" s="11"/>
      <c r="Z27" s="11"/>
    </row>
    <row r="28" ht="37.5" customHeight="1">
      <c r="A28" s="11"/>
      <c r="B28" s="14" t="s">
        <v>73</v>
      </c>
      <c r="C28" s="16">
        <f>SUMIF('PRODUCT PHASES 1-5'!$F$1:$J$90,"Materials",'PRODUCT PHASES 1-5'!$J$1:$J$90)</f>
        <v>51448.05125</v>
      </c>
      <c r="D28" s="27"/>
      <c r="E28" s="27"/>
      <c r="H28" s="11"/>
      <c r="I28" s="11"/>
      <c r="J28" s="11"/>
      <c r="K28" s="11"/>
      <c r="L28" s="11"/>
      <c r="M28" s="11"/>
      <c r="N28" s="11"/>
      <c r="O28" s="11"/>
      <c r="P28" s="11"/>
      <c r="Q28" s="11"/>
      <c r="R28" s="11"/>
      <c r="S28" s="11"/>
      <c r="T28" s="11"/>
      <c r="U28" s="11"/>
      <c r="V28" s="11"/>
      <c r="W28" s="11"/>
      <c r="X28" s="11"/>
      <c r="Y28" s="11"/>
      <c r="Z28" s="11"/>
    </row>
    <row r="29" ht="37.5" customHeight="1">
      <c r="A29" s="11"/>
      <c r="B29" s="14" t="s">
        <v>74</v>
      </c>
      <c r="C29" s="16">
        <f>SUM(C26:C28)</f>
        <v>225248.0513</v>
      </c>
      <c r="D29" s="30">
        <f>C30-C29</f>
        <v>36649.61025</v>
      </c>
      <c r="E29" s="27"/>
      <c r="H29" s="11"/>
      <c r="I29" s="11"/>
      <c r="J29" s="11"/>
      <c r="K29" s="11"/>
      <c r="L29" s="11"/>
      <c r="M29" s="11"/>
      <c r="N29" s="11"/>
      <c r="O29" s="11"/>
      <c r="P29" s="11"/>
      <c r="Q29" s="11"/>
      <c r="R29" s="11"/>
      <c r="S29" s="11"/>
      <c r="T29" s="11"/>
      <c r="U29" s="11"/>
      <c r="V29" s="11"/>
      <c r="W29" s="11"/>
      <c r="X29" s="11"/>
      <c r="Y29" s="11"/>
      <c r="Z29" s="11"/>
    </row>
    <row r="30" ht="37.5" customHeight="1">
      <c r="A30" s="11"/>
      <c r="B30" s="14" t="s">
        <v>75</v>
      </c>
      <c r="C30" s="31">
        <f>'PROJECT ESTIMATE'!F64</f>
        <v>261897.6615</v>
      </c>
      <c r="D30" s="28"/>
      <c r="E30" s="27"/>
      <c r="H30" s="11"/>
      <c r="I30" s="11"/>
      <c r="J30" s="11"/>
      <c r="K30" s="11"/>
      <c r="L30" s="11"/>
      <c r="M30" s="11"/>
      <c r="N30" s="11"/>
      <c r="O30" s="11"/>
      <c r="P30" s="11"/>
      <c r="Q30" s="11"/>
      <c r="R30" s="11"/>
      <c r="S30" s="11"/>
      <c r="T30" s="11"/>
      <c r="U30" s="11"/>
      <c r="V30" s="11"/>
      <c r="W30" s="11"/>
      <c r="X30" s="11"/>
      <c r="Y30" s="11"/>
      <c r="Z30" s="11"/>
    </row>
    <row r="31" ht="37.5" customHeight="1">
      <c r="A31" s="11"/>
      <c r="B31" s="14" t="s">
        <v>76</v>
      </c>
      <c r="C31" s="16">
        <v>0.0</v>
      </c>
      <c r="D31" s="27"/>
      <c r="E31" s="32"/>
      <c r="F31" s="32"/>
      <c r="G31" s="11"/>
      <c r="H31" s="11"/>
      <c r="I31" s="11"/>
      <c r="J31" s="11"/>
      <c r="K31" s="11"/>
      <c r="L31" s="11"/>
      <c r="M31" s="11"/>
      <c r="N31" s="11"/>
      <c r="O31" s="11"/>
      <c r="P31" s="11"/>
      <c r="Q31" s="11"/>
      <c r="R31" s="11"/>
      <c r="S31" s="11"/>
      <c r="T31" s="11"/>
      <c r="U31" s="11"/>
      <c r="V31" s="11"/>
      <c r="W31" s="11"/>
      <c r="X31" s="11"/>
      <c r="Y31" s="11"/>
      <c r="Z31" s="11"/>
    </row>
    <row r="32" ht="37.5" customHeight="1">
      <c r="A32" s="11"/>
      <c r="B32" s="14" t="s">
        <v>77</v>
      </c>
      <c r="C32" s="16">
        <f>IFERROR(C31/C30,"-")</f>
        <v>0</v>
      </c>
      <c r="D32" s="27"/>
      <c r="E32" s="32"/>
      <c r="F32" s="32"/>
      <c r="G32" s="11"/>
      <c r="H32" s="11"/>
      <c r="I32" s="11"/>
      <c r="J32" s="11"/>
      <c r="K32" s="11"/>
      <c r="L32" s="11"/>
      <c r="M32" s="11"/>
      <c r="N32" s="11"/>
      <c r="O32" s="11"/>
      <c r="P32" s="11"/>
      <c r="Q32" s="11"/>
      <c r="R32" s="11"/>
      <c r="S32" s="11"/>
      <c r="T32" s="11"/>
      <c r="U32" s="11"/>
      <c r="V32" s="11"/>
      <c r="W32" s="11"/>
      <c r="X32" s="11"/>
      <c r="Y32" s="11"/>
      <c r="Z32" s="11"/>
    </row>
    <row r="33" ht="37.5" customHeight="1">
      <c r="A33" s="11"/>
      <c r="B33" s="13"/>
      <c r="C33" s="13"/>
      <c r="D33" s="11"/>
      <c r="E33" s="11"/>
      <c r="F33" s="11"/>
      <c r="G33" s="11"/>
      <c r="H33" s="11"/>
      <c r="I33" s="11"/>
      <c r="J33" s="11"/>
      <c r="K33" s="11"/>
      <c r="L33" s="11"/>
      <c r="M33" s="11"/>
      <c r="N33" s="11"/>
      <c r="O33" s="11"/>
      <c r="P33" s="11"/>
      <c r="Q33" s="11"/>
      <c r="R33" s="11"/>
      <c r="S33" s="11"/>
      <c r="T33" s="11"/>
      <c r="U33" s="11"/>
      <c r="V33" s="11"/>
      <c r="W33" s="11"/>
      <c r="X33" s="11"/>
      <c r="Y33" s="11"/>
      <c r="Z33" s="11"/>
    </row>
    <row r="34" ht="37.5" customHeight="1">
      <c r="A34" s="11"/>
      <c r="B34" s="33" t="s">
        <v>78</v>
      </c>
      <c r="C34" s="13"/>
      <c r="D34" s="11"/>
      <c r="E34" s="11"/>
      <c r="F34" s="11"/>
      <c r="G34" s="11"/>
      <c r="H34" s="11"/>
      <c r="I34" s="11"/>
      <c r="J34" s="11"/>
      <c r="K34" s="11"/>
      <c r="L34" s="11"/>
      <c r="M34" s="11"/>
      <c r="N34" s="11"/>
      <c r="O34" s="11"/>
      <c r="P34" s="11"/>
      <c r="Q34" s="11"/>
      <c r="R34" s="11"/>
      <c r="S34" s="11"/>
      <c r="T34" s="11"/>
      <c r="U34" s="11"/>
      <c r="V34" s="11"/>
      <c r="W34" s="11"/>
      <c r="X34" s="11"/>
      <c r="Y34" s="11"/>
      <c r="Z34" s="11"/>
    </row>
    <row r="35" ht="56.25" customHeight="1">
      <c r="A35" s="34"/>
      <c r="B35" s="35" t="s">
        <v>79</v>
      </c>
      <c r="C35" s="12">
        <v>1.05</v>
      </c>
      <c r="D35" s="36" t="s">
        <v>80</v>
      </c>
      <c r="E35" s="34"/>
      <c r="F35" s="34"/>
      <c r="G35" s="34"/>
      <c r="H35" s="34"/>
      <c r="I35" s="34"/>
      <c r="J35" s="34"/>
      <c r="K35" s="34"/>
      <c r="L35" s="34"/>
      <c r="M35" s="34"/>
      <c r="N35" s="34"/>
      <c r="O35" s="34"/>
      <c r="P35" s="34"/>
      <c r="Q35" s="34"/>
      <c r="R35" s="34"/>
      <c r="S35" s="34"/>
      <c r="T35" s="34"/>
      <c r="U35" s="34"/>
      <c r="V35" s="34"/>
      <c r="W35" s="34"/>
      <c r="X35" s="34"/>
      <c r="Y35" s="34"/>
      <c r="Z35" s="34"/>
    </row>
    <row r="36" ht="56.25" customHeight="1">
      <c r="A36" s="34"/>
      <c r="B36" s="37" t="s">
        <v>81</v>
      </c>
      <c r="C36" s="38">
        <v>1.1</v>
      </c>
      <c r="D36" s="39" t="s">
        <v>82</v>
      </c>
      <c r="E36" s="34"/>
      <c r="F36" s="34"/>
      <c r="G36" s="34"/>
      <c r="H36" s="34"/>
      <c r="I36" s="34"/>
      <c r="J36" s="34"/>
      <c r="K36" s="34"/>
      <c r="L36" s="34"/>
      <c r="M36" s="34"/>
      <c r="N36" s="34"/>
      <c r="O36" s="34"/>
      <c r="P36" s="34"/>
      <c r="Q36" s="34"/>
      <c r="R36" s="34"/>
      <c r="S36" s="34"/>
      <c r="T36" s="34"/>
      <c r="U36" s="34"/>
      <c r="V36" s="34"/>
      <c r="W36" s="34"/>
      <c r="X36" s="34"/>
      <c r="Y36" s="34"/>
      <c r="Z36" s="34"/>
    </row>
    <row r="37" ht="56.25" customHeight="1">
      <c r="A37" s="34"/>
      <c r="B37" s="35" t="s">
        <v>83</v>
      </c>
      <c r="C37" s="12">
        <v>1.15</v>
      </c>
      <c r="D37" s="36" t="s">
        <v>84</v>
      </c>
      <c r="E37" s="34"/>
      <c r="F37" s="34"/>
      <c r="G37" s="34"/>
      <c r="H37" s="34"/>
      <c r="I37" s="34"/>
      <c r="J37" s="34"/>
      <c r="K37" s="34"/>
      <c r="L37" s="34"/>
      <c r="M37" s="34"/>
      <c r="N37" s="34"/>
      <c r="O37" s="34"/>
      <c r="P37" s="34"/>
      <c r="Q37" s="34"/>
      <c r="R37" s="34"/>
      <c r="S37" s="34"/>
      <c r="T37" s="34"/>
      <c r="U37" s="34"/>
      <c r="V37" s="34"/>
      <c r="W37" s="34"/>
      <c r="X37" s="34"/>
      <c r="Y37" s="34"/>
      <c r="Z37" s="34"/>
    </row>
    <row r="38" ht="56.25" customHeight="1">
      <c r="A38" s="34"/>
      <c r="B38" s="37" t="s">
        <v>85</v>
      </c>
      <c r="C38" s="38">
        <v>1.2</v>
      </c>
      <c r="D38" s="39" t="s">
        <v>86</v>
      </c>
      <c r="E38" s="34"/>
      <c r="F38" s="34"/>
      <c r="G38" s="34"/>
      <c r="H38" s="34"/>
      <c r="I38" s="34"/>
      <c r="J38" s="34"/>
      <c r="K38" s="34"/>
      <c r="L38" s="34"/>
      <c r="M38" s="34"/>
      <c r="N38" s="34"/>
      <c r="O38" s="34"/>
      <c r="P38" s="34"/>
      <c r="Q38" s="34"/>
      <c r="R38" s="34"/>
      <c r="S38" s="34"/>
      <c r="T38" s="34"/>
      <c r="U38" s="34"/>
      <c r="V38" s="34"/>
      <c r="W38" s="34"/>
      <c r="X38" s="34"/>
      <c r="Y38" s="34"/>
      <c r="Z38" s="34"/>
    </row>
    <row r="39" ht="3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7.5" customHeight="1">
      <c r="A40" s="11"/>
      <c r="B40" s="33" t="s">
        <v>87</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ht="56.25" customHeight="1">
      <c r="A41" s="34"/>
      <c r="B41" s="35" t="s">
        <v>88</v>
      </c>
      <c r="C41" s="40"/>
      <c r="D41" s="36" t="s">
        <v>89</v>
      </c>
      <c r="E41" s="41"/>
      <c r="F41" s="41"/>
      <c r="G41" s="42" t="s">
        <v>90</v>
      </c>
      <c r="H41" s="34"/>
      <c r="I41" s="34"/>
      <c r="J41" s="34"/>
      <c r="K41" s="34"/>
      <c r="L41" s="34"/>
      <c r="M41" s="34"/>
      <c r="N41" s="34"/>
      <c r="O41" s="34"/>
      <c r="P41" s="34"/>
      <c r="Q41" s="34"/>
      <c r="R41" s="34"/>
      <c r="S41" s="34"/>
      <c r="T41" s="34"/>
      <c r="U41" s="34"/>
      <c r="V41" s="34"/>
      <c r="W41" s="34"/>
      <c r="X41" s="34"/>
      <c r="Y41" s="34"/>
      <c r="Z41" s="34"/>
    </row>
    <row r="42" ht="56.25" customHeight="1">
      <c r="A42" s="34"/>
      <c r="B42" s="37" t="s">
        <v>91</v>
      </c>
      <c r="C42" s="43"/>
      <c r="D42" s="39" t="s">
        <v>92</v>
      </c>
      <c r="E42" s="34"/>
      <c r="F42" s="34"/>
      <c r="G42" s="44"/>
      <c r="H42" s="34"/>
      <c r="I42" s="34"/>
      <c r="J42" s="34"/>
      <c r="K42" s="34"/>
      <c r="L42" s="34"/>
      <c r="M42" s="34"/>
      <c r="N42" s="34"/>
      <c r="O42" s="34"/>
      <c r="P42" s="34"/>
      <c r="Q42" s="34"/>
      <c r="R42" s="34"/>
      <c r="S42" s="34"/>
      <c r="T42" s="34"/>
      <c r="U42" s="34"/>
      <c r="V42" s="34"/>
      <c r="W42" s="34"/>
      <c r="X42" s="34"/>
      <c r="Y42" s="34"/>
      <c r="Z42" s="34"/>
    </row>
    <row r="43" ht="3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7.5" customHeight="1">
      <c r="A44" s="11"/>
      <c r="B44" s="33" t="s">
        <v>93</v>
      </c>
      <c r="C44" s="32"/>
      <c r="D44" s="32"/>
      <c r="E44" s="11"/>
      <c r="F44" s="11"/>
      <c r="G44" s="11"/>
      <c r="H44" s="11"/>
      <c r="I44" s="11"/>
      <c r="J44" s="11"/>
      <c r="K44" s="11"/>
      <c r="L44" s="11"/>
      <c r="M44" s="11"/>
      <c r="N44" s="11"/>
      <c r="O44" s="11"/>
      <c r="P44" s="11"/>
      <c r="Q44" s="11"/>
      <c r="R44" s="11"/>
      <c r="S44" s="11"/>
      <c r="T44" s="11"/>
      <c r="U44" s="11"/>
      <c r="V44" s="11"/>
      <c r="W44" s="11"/>
      <c r="X44" s="11"/>
      <c r="Y44" s="11"/>
      <c r="Z44" s="11"/>
    </row>
    <row r="45" ht="37.5" customHeight="1">
      <c r="A45" s="11"/>
      <c r="B45" s="45" t="s">
        <v>94</v>
      </c>
      <c r="C45" s="46" t="s">
        <v>95</v>
      </c>
      <c r="D45" s="47" t="s">
        <v>96</v>
      </c>
      <c r="E45" s="11"/>
      <c r="F45" s="11"/>
      <c r="G45" s="11"/>
      <c r="H45" s="11"/>
      <c r="I45" s="11"/>
      <c r="J45" s="11"/>
      <c r="K45" s="11"/>
      <c r="L45" s="11"/>
      <c r="M45" s="11"/>
      <c r="N45" s="11"/>
      <c r="O45" s="11"/>
      <c r="P45" s="11"/>
      <c r="Q45" s="11"/>
      <c r="R45" s="11"/>
      <c r="S45" s="11"/>
      <c r="T45" s="11"/>
      <c r="U45" s="11"/>
      <c r="V45" s="11"/>
      <c r="W45" s="11"/>
      <c r="X45" s="11"/>
      <c r="Y45" s="11"/>
      <c r="Z45" s="11"/>
    </row>
    <row r="46" ht="37.5" customHeight="1">
      <c r="A46" s="11"/>
      <c r="B46" s="48" t="s">
        <v>97</v>
      </c>
      <c r="C46" s="49">
        <v>75.0</v>
      </c>
      <c r="D46" s="48" t="s">
        <v>98</v>
      </c>
      <c r="E46" s="11"/>
      <c r="F46" s="11"/>
      <c r="G46" s="11"/>
      <c r="H46" s="11"/>
      <c r="I46" s="11"/>
      <c r="J46" s="11"/>
      <c r="K46" s="11"/>
      <c r="L46" s="11"/>
      <c r="M46" s="11"/>
      <c r="N46" s="11"/>
      <c r="O46" s="11"/>
      <c r="P46" s="11"/>
      <c r="Q46" s="11"/>
      <c r="R46" s="11"/>
      <c r="S46" s="11"/>
      <c r="T46" s="11"/>
      <c r="U46" s="11"/>
      <c r="V46" s="11"/>
      <c r="W46" s="11"/>
      <c r="X46" s="11"/>
      <c r="Y46" s="11"/>
      <c r="Z46" s="11"/>
    </row>
    <row r="47" ht="37.5" customHeight="1">
      <c r="A47" s="11"/>
      <c r="B47" s="50" t="s">
        <v>99</v>
      </c>
      <c r="C47" s="51">
        <v>50.0</v>
      </c>
      <c r="D47" s="50" t="s">
        <v>100</v>
      </c>
      <c r="E47" s="11"/>
      <c r="F47" s="11"/>
      <c r="G47" s="11"/>
      <c r="H47" s="11"/>
      <c r="I47" s="11"/>
      <c r="J47" s="11"/>
      <c r="K47" s="11"/>
      <c r="L47" s="11"/>
      <c r="M47" s="11"/>
      <c r="N47" s="11"/>
      <c r="O47" s="11"/>
      <c r="P47" s="11"/>
      <c r="Q47" s="11"/>
      <c r="R47" s="11"/>
      <c r="S47" s="11"/>
      <c r="T47" s="11"/>
      <c r="U47" s="11"/>
      <c r="V47" s="11"/>
      <c r="W47" s="11"/>
      <c r="X47" s="11"/>
      <c r="Y47" s="11"/>
      <c r="Z47" s="11"/>
    </row>
    <row r="48" ht="37.5" customHeight="1">
      <c r="A48" s="11"/>
      <c r="B48" s="50" t="s">
        <v>101</v>
      </c>
      <c r="C48" s="51">
        <v>25.0</v>
      </c>
      <c r="D48" s="50" t="s">
        <v>102</v>
      </c>
      <c r="E48" s="11"/>
      <c r="F48" s="11"/>
      <c r="G48" s="11"/>
      <c r="H48" s="11"/>
      <c r="I48" s="11"/>
      <c r="J48" s="11"/>
      <c r="K48" s="11"/>
      <c r="L48" s="11"/>
      <c r="M48" s="11"/>
      <c r="N48" s="11"/>
      <c r="O48" s="11"/>
      <c r="P48" s="11"/>
      <c r="Q48" s="11"/>
      <c r="R48" s="11"/>
      <c r="S48" s="11"/>
      <c r="T48" s="11"/>
      <c r="U48" s="11"/>
      <c r="V48" s="11"/>
      <c r="W48" s="11"/>
      <c r="X48" s="11"/>
      <c r="Y48" s="11"/>
      <c r="Z48" s="11"/>
    </row>
    <row r="49" ht="37.5" customHeight="1">
      <c r="A49" s="11"/>
      <c r="B49" s="50" t="s">
        <v>103</v>
      </c>
      <c r="C49" s="51">
        <v>50.0</v>
      </c>
      <c r="D49" s="50" t="s">
        <v>104</v>
      </c>
      <c r="E49" s="11"/>
      <c r="F49" s="11"/>
      <c r="G49" s="11"/>
      <c r="H49" s="11"/>
      <c r="I49" s="11"/>
      <c r="J49" s="11"/>
      <c r="K49" s="11"/>
      <c r="L49" s="11"/>
      <c r="M49" s="11"/>
      <c r="N49" s="11"/>
      <c r="O49" s="11"/>
      <c r="P49" s="11"/>
      <c r="Q49" s="11"/>
      <c r="R49" s="11"/>
      <c r="S49" s="11"/>
      <c r="T49" s="11"/>
      <c r="U49" s="11"/>
      <c r="V49" s="11"/>
      <c r="W49" s="11"/>
      <c r="X49" s="11"/>
      <c r="Y49" s="11"/>
      <c r="Z49" s="11"/>
    </row>
    <row r="50" ht="37.5" customHeight="1">
      <c r="A50" s="11"/>
      <c r="B50" s="50" t="s">
        <v>105</v>
      </c>
      <c r="C50" s="51" t="s">
        <v>106</v>
      </c>
      <c r="D50" s="50" t="s">
        <v>107</v>
      </c>
      <c r="E50" s="11"/>
      <c r="F50" s="11"/>
      <c r="G50" s="11"/>
      <c r="H50" s="11"/>
      <c r="I50" s="11"/>
      <c r="J50" s="11"/>
      <c r="K50" s="11"/>
      <c r="L50" s="11"/>
      <c r="M50" s="11"/>
      <c r="N50" s="11"/>
      <c r="O50" s="11"/>
      <c r="P50" s="11"/>
      <c r="Q50" s="11"/>
      <c r="R50" s="11"/>
      <c r="S50" s="11"/>
      <c r="T50" s="11"/>
      <c r="U50" s="11"/>
      <c r="V50" s="11"/>
      <c r="W50" s="11"/>
      <c r="X50" s="11"/>
      <c r="Y50" s="11"/>
      <c r="Z50" s="11"/>
    </row>
    <row r="51" ht="37.5" customHeight="1">
      <c r="A51" s="11"/>
      <c r="B51" s="50" t="s">
        <v>108</v>
      </c>
      <c r="C51" s="51" t="s">
        <v>106</v>
      </c>
      <c r="D51" s="50" t="s">
        <v>109</v>
      </c>
      <c r="E51" s="11"/>
      <c r="F51" s="11"/>
      <c r="G51" s="11"/>
      <c r="H51" s="11"/>
      <c r="I51" s="11"/>
      <c r="J51" s="11"/>
      <c r="K51" s="11"/>
      <c r="L51" s="11"/>
      <c r="M51" s="11"/>
      <c r="N51" s="11"/>
      <c r="O51" s="11"/>
      <c r="P51" s="11"/>
      <c r="Q51" s="11"/>
      <c r="R51" s="11"/>
      <c r="S51" s="11"/>
      <c r="T51" s="11"/>
      <c r="U51" s="11"/>
      <c r="V51" s="11"/>
      <c r="W51" s="11"/>
      <c r="X51" s="11"/>
      <c r="Y51" s="11"/>
      <c r="Z51" s="11"/>
    </row>
    <row r="52" ht="37.5" customHeight="1">
      <c r="A52" s="11"/>
      <c r="B52" s="50" t="s">
        <v>110</v>
      </c>
      <c r="C52" s="51" t="s">
        <v>106</v>
      </c>
      <c r="D52" s="50" t="s">
        <v>111</v>
      </c>
      <c r="E52" s="11"/>
      <c r="F52" s="11"/>
      <c r="G52" s="11"/>
      <c r="H52" s="11"/>
      <c r="I52" s="11"/>
      <c r="J52" s="11"/>
      <c r="K52" s="11"/>
      <c r="L52" s="11"/>
      <c r="M52" s="11"/>
      <c r="N52" s="11"/>
      <c r="O52" s="11"/>
      <c r="P52" s="11"/>
      <c r="Q52" s="11"/>
      <c r="R52" s="11"/>
      <c r="S52" s="11"/>
      <c r="T52" s="11"/>
      <c r="U52" s="11"/>
      <c r="V52" s="11"/>
      <c r="W52" s="11"/>
      <c r="X52" s="11"/>
      <c r="Y52" s="11"/>
      <c r="Z52" s="11"/>
    </row>
    <row r="53" ht="37.5" customHeight="1">
      <c r="A53" s="11"/>
      <c r="B53" s="50" t="s">
        <v>112</v>
      </c>
      <c r="C53" s="51" t="s">
        <v>106</v>
      </c>
      <c r="D53" s="50" t="s">
        <v>113</v>
      </c>
      <c r="E53" s="11"/>
      <c r="F53" s="11"/>
      <c r="G53" s="11"/>
      <c r="H53" s="11"/>
      <c r="I53" s="11"/>
      <c r="J53" s="11"/>
      <c r="K53" s="11"/>
      <c r="L53" s="11"/>
      <c r="M53" s="11"/>
      <c r="N53" s="11"/>
      <c r="O53" s="11"/>
      <c r="P53" s="11"/>
      <c r="Q53" s="11"/>
      <c r="R53" s="11"/>
      <c r="S53" s="11"/>
      <c r="T53" s="11"/>
      <c r="U53" s="11"/>
      <c r="V53" s="11"/>
      <c r="W53" s="11"/>
      <c r="X53" s="11"/>
      <c r="Y53" s="11"/>
      <c r="Z53" s="11"/>
    </row>
    <row r="54" ht="37.5" customHeight="1">
      <c r="A54" s="11"/>
      <c r="B54" s="50" t="s">
        <v>114</v>
      </c>
      <c r="C54" s="51" t="s">
        <v>106</v>
      </c>
      <c r="D54" s="50" t="s">
        <v>115</v>
      </c>
      <c r="E54" s="11"/>
      <c r="F54" s="11"/>
      <c r="G54" s="11"/>
      <c r="H54" s="11"/>
      <c r="I54" s="11"/>
      <c r="J54" s="11"/>
      <c r="K54" s="11"/>
      <c r="L54" s="11"/>
      <c r="M54" s="11"/>
      <c r="N54" s="11"/>
      <c r="O54" s="11"/>
      <c r="P54" s="11"/>
      <c r="Q54" s="11"/>
      <c r="R54" s="11"/>
      <c r="S54" s="11"/>
      <c r="T54" s="11"/>
      <c r="U54" s="11"/>
      <c r="V54" s="11"/>
      <c r="W54" s="11"/>
      <c r="X54" s="11"/>
      <c r="Y54" s="11"/>
      <c r="Z54" s="11"/>
    </row>
    <row r="55" ht="37.5" customHeight="1">
      <c r="A55" s="11"/>
      <c r="B55" s="50" t="s">
        <v>116</v>
      </c>
      <c r="C55" s="51" t="s">
        <v>106</v>
      </c>
      <c r="D55" s="50" t="s">
        <v>117</v>
      </c>
      <c r="E55" s="11"/>
      <c r="F55" s="11"/>
      <c r="G55" s="11"/>
      <c r="H55" s="11"/>
      <c r="I55" s="11"/>
      <c r="J55" s="11"/>
      <c r="K55" s="11"/>
      <c r="L55" s="11"/>
      <c r="M55" s="11"/>
      <c r="N55" s="11"/>
      <c r="O55" s="11"/>
      <c r="P55" s="11"/>
      <c r="Q55" s="11"/>
      <c r="R55" s="11"/>
      <c r="S55" s="11"/>
      <c r="T55" s="11"/>
      <c r="U55" s="11"/>
      <c r="V55" s="11"/>
      <c r="W55" s="11"/>
      <c r="X55" s="11"/>
      <c r="Y55" s="11"/>
      <c r="Z55" s="11"/>
    </row>
    <row r="56" ht="37.5" customHeight="1">
      <c r="A56" s="11"/>
      <c r="B56" s="50" t="s">
        <v>118</v>
      </c>
      <c r="C56" s="51" t="s">
        <v>106</v>
      </c>
      <c r="D56" s="50" t="s">
        <v>119</v>
      </c>
      <c r="E56" s="11"/>
      <c r="F56" s="11"/>
      <c r="G56" s="11"/>
      <c r="H56" s="11"/>
      <c r="I56" s="11"/>
      <c r="J56" s="11"/>
      <c r="K56" s="11"/>
      <c r="L56" s="11"/>
      <c r="M56" s="11"/>
      <c r="N56" s="11"/>
      <c r="O56" s="11"/>
      <c r="P56" s="11"/>
      <c r="Q56" s="11"/>
      <c r="R56" s="11"/>
      <c r="S56" s="11"/>
      <c r="T56" s="11"/>
      <c r="U56" s="11"/>
      <c r="V56" s="11"/>
      <c r="W56" s="11"/>
      <c r="X56" s="11"/>
      <c r="Y56" s="11"/>
      <c r="Z56" s="11"/>
    </row>
    <row r="57" ht="37.5" customHeight="1">
      <c r="A57" s="11"/>
      <c r="B57" s="50" t="s">
        <v>120</v>
      </c>
      <c r="C57" s="51" t="s">
        <v>106</v>
      </c>
      <c r="D57" s="50" t="s">
        <v>121</v>
      </c>
      <c r="E57" s="11"/>
      <c r="F57" s="11"/>
      <c r="G57" s="11"/>
      <c r="H57" s="11"/>
      <c r="I57" s="11"/>
      <c r="J57" s="11"/>
      <c r="K57" s="11"/>
      <c r="L57" s="11"/>
      <c r="M57" s="11"/>
      <c r="N57" s="11"/>
      <c r="O57" s="11"/>
      <c r="P57" s="11"/>
      <c r="Q57" s="11"/>
      <c r="R57" s="11"/>
      <c r="S57" s="11"/>
      <c r="T57" s="11"/>
      <c r="U57" s="11"/>
      <c r="V57" s="11"/>
      <c r="W57" s="11"/>
      <c r="X57" s="11"/>
      <c r="Y57" s="11"/>
      <c r="Z57" s="11"/>
    </row>
    <row r="58" ht="37.5" customHeight="1">
      <c r="A58" s="11"/>
      <c r="B58" s="50" t="s">
        <v>122</v>
      </c>
      <c r="C58" s="51" t="s">
        <v>106</v>
      </c>
      <c r="D58" s="50" t="s">
        <v>123</v>
      </c>
      <c r="E58" s="11"/>
      <c r="F58" s="11"/>
      <c r="G58" s="11"/>
      <c r="H58" s="11"/>
      <c r="I58" s="11"/>
      <c r="J58" s="11"/>
      <c r="K58" s="11"/>
      <c r="L58" s="11"/>
      <c r="M58" s="11"/>
      <c r="N58" s="11"/>
      <c r="O58" s="11"/>
      <c r="P58" s="11"/>
      <c r="Q58" s="11"/>
      <c r="R58" s="11"/>
      <c r="S58" s="11"/>
      <c r="T58" s="11"/>
      <c r="U58" s="11"/>
      <c r="V58" s="11"/>
      <c r="W58" s="11"/>
      <c r="X58" s="11"/>
      <c r="Y58" s="11"/>
      <c r="Z58" s="11"/>
    </row>
    <row r="59" ht="37.5" customHeight="1">
      <c r="A59" s="11"/>
      <c r="B59" s="50" t="s">
        <v>124</v>
      </c>
      <c r="C59" s="51" t="s">
        <v>106</v>
      </c>
      <c r="D59" s="50" t="s">
        <v>125</v>
      </c>
      <c r="E59" s="11"/>
      <c r="F59" s="11"/>
      <c r="G59" s="11"/>
      <c r="H59" s="11"/>
      <c r="I59" s="11"/>
      <c r="J59" s="11"/>
      <c r="K59" s="11"/>
      <c r="L59" s="11"/>
      <c r="M59" s="11"/>
      <c r="N59" s="11"/>
      <c r="O59" s="11"/>
      <c r="P59" s="11"/>
      <c r="Q59" s="11"/>
      <c r="R59" s="11"/>
      <c r="S59" s="11"/>
      <c r="T59" s="11"/>
      <c r="U59" s="11"/>
      <c r="V59" s="11"/>
      <c r="W59" s="11"/>
      <c r="X59" s="11"/>
      <c r="Y59" s="11"/>
      <c r="Z59" s="11"/>
    </row>
    <row r="60" ht="37.5" customHeight="1">
      <c r="A60" s="11"/>
      <c r="B60" s="50" t="s">
        <v>126</v>
      </c>
      <c r="C60" s="51" t="s">
        <v>106</v>
      </c>
      <c r="D60" s="50" t="s">
        <v>127</v>
      </c>
      <c r="E60" s="11"/>
      <c r="F60" s="11"/>
      <c r="G60" s="11"/>
      <c r="H60" s="11"/>
      <c r="I60" s="11"/>
      <c r="J60" s="11"/>
      <c r="K60" s="11"/>
      <c r="L60" s="11"/>
      <c r="M60" s="11"/>
      <c r="N60" s="11"/>
      <c r="O60" s="11"/>
      <c r="P60" s="11"/>
      <c r="Q60" s="11"/>
      <c r="R60" s="11"/>
      <c r="S60" s="11"/>
      <c r="T60" s="11"/>
      <c r="U60" s="11"/>
      <c r="V60" s="11"/>
      <c r="W60" s="11"/>
      <c r="X60" s="11"/>
      <c r="Y60" s="11"/>
      <c r="Z60" s="11"/>
    </row>
    <row r="61" ht="37.5" customHeight="1">
      <c r="A61" s="11"/>
      <c r="B61" s="50" t="s">
        <v>128</v>
      </c>
      <c r="C61" s="51" t="s">
        <v>106</v>
      </c>
      <c r="D61" s="50" t="s">
        <v>129</v>
      </c>
      <c r="E61" s="11"/>
      <c r="F61" s="11"/>
      <c r="G61" s="11"/>
      <c r="H61" s="11"/>
      <c r="I61" s="11"/>
      <c r="J61" s="11"/>
      <c r="K61" s="11"/>
      <c r="L61" s="11"/>
      <c r="M61" s="11"/>
      <c r="N61" s="11"/>
      <c r="O61" s="11"/>
      <c r="P61" s="11"/>
      <c r="Q61" s="11"/>
      <c r="R61" s="11"/>
      <c r="S61" s="11"/>
      <c r="T61" s="11"/>
      <c r="U61" s="11"/>
      <c r="V61" s="11"/>
      <c r="W61" s="11"/>
      <c r="X61" s="11"/>
      <c r="Y61" s="11"/>
      <c r="Z61" s="11"/>
    </row>
    <row r="62" ht="37.5" customHeight="1">
      <c r="A62" s="11"/>
      <c r="B62" s="50" t="s">
        <v>130</v>
      </c>
      <c r="C62" s="51" t="s">
        <v>106</v>
      </c>
      <c r="D62" s="50" t="s">
        <v>131</v>
      </c>
      <c r="E62" s="11"/>
      <c r="F62" s="11"/>
      <c r="G62" s="11"/>
      <c r="H62" s="11"/>
      <c r="I62" s="11"/>
      <c r="J62" s="11"/>
      <c r="K62" s="11"/>
      <c r="L62" s="11"/>
      <c r="M62" s="11"/>
      <c r="N62" s="11"/>
      <c r="O62" s="11"/>
      <c r="P62" s="11"/>
      <c r="Q62" s="11"/>
      <c r="R62" s="11"/>
      <c r="S62" s="11"/>
      <c r="T62" s="11"/>
      <c r="U62" s="11"/>
      <c r="V62" s="11"/>
      <c r="W62" s="11"/>
      <c r="X62" s="11"/>
      <c r="Y62" s="11"/>
      <c r="Z62" s="11"/>
    </row>
    <row r="63" ht="37.5" customHeight="1">
      <c r="A63" s="11"/>
      <c r="B63" s="50"/>
      <c r="C63" s="51"/>
      <c r="D63" s="50"/>
      <c r="E63" s="11"/>
      <c r="F63" s="11"/>
      <c r="G63" s="11"/>
      <c r="H63" s="11"/>
      <c r="I63" s="11"/>
      <c r="J63" s="11"/>
      <c r="K63" s="11"/>
      <c r="L63" s="11"/>
      <c r="M63" s="11"/>
      <c r="N63" s="11"/>
      <c r="O63" s="11"/>
      <c r="P63" s="11"/>
      <c r="Q63" s="11"/>
      <c r="R63" s="11"/>
      <c r="S63" s="11"/>
      <c r="T63" s="11"/>
      <c r="U63" s="11"/>
      <c r="V63" s="11"/>
      <c r="W63" s="11"/>
      <c r="X63" s="11"/>
      <c r="Y63" s="11"/>
      <c r="Z63" s="11"/>
    </row>
    <row r="64" ht="37.5" customHeight="1">
      <c r="A64" s="11"/>
      <c r="B64" s="50"/>
      <c r="C64" s="51"/>
      <c r="D64" s="50"/>
      <c r="E64" s="11"/>
      <c r="F64" s="11"/>
      <c r="G64" s="11"/>
      <c r="H64" s="11"/>
      <c r="I64" s="11"/>
      <c r="J64" s="11"/>
      <c r="K64" s="11"/>
      <c r="L64" s="11"/>
      <c r="M64" s="11"/>
      <c r="N64" s="11"/>
      <c r="O64" s="11"/>
      <c r="P64" s="11"/>
      <c r="Q64" s="11"/>
      <c r="R64" s="11"/>
      <c r="S64" s="11"/>
      <c r="T64" s="11"/>
      <c r="U64" s="11"/>
      <c r="V64" s="11"/>
      <c r="W64" s="11"/>
      <c r="X64" s="11"/>
      <c r="Y64" s="11"/>
      <c r="Z64" s="11"/>
    </row>
    <row r="65" ht="37.5" customHeight="1">
      <c r="A65" s="11"/>
      <c r="B65" s="50"/>
      <c r="C65" s="51"/>
      <c r="D65" s="50"/>
      <c r="E65" s="11"/>
      <c r="F65" s="11"/>
      <c r="G65" s="11"/>
      <c r="H65" s="11"/>
      <c r="I65" s="11"/>
      <c r="J65" s="11"/>
      <c r="K65" s="11"/>
      <c r="L65" s="11"/>
      <c r="M65" s="11"/>
      <c r="N65" s="11"/>
      <c r="O65" s="11"/>
      <c r="P65" s="11"/>
      <c r="Q65" s="11"/>
      <c r="R65" s="11"/>
      <c r="S65" s="11"/>
      <c r="T65" s="11"/>
      <c r="U65" s="11"/>
      <c r="V65" s="11"/>
      <c r="W65" s="11"/>
      <c r="X65" s="11"/>
      <c r="Y65" s="11"/>
      <c r="Z65" s="11"/>
    </row>
    <row r="66" ht="37.5" customHeight="1">
      <c r="A66" s="11"/>
      <c r="B66" s="50"/>
      <c r="C66" s="51"/>
      <c r="D66" s="50"/>
      <c r="E66" s="11"/>
      <c r="F66" s="11"/>
      <c r="G66" s="11"/>
      <c r="H66" s="11"/>
      <c r="I66" s="11"/>
      <c r="J66" s="11"/>
      <c r="K66" s="11"/>
      <c r="L66" s="11"/>
      <c r="M66" s="11"/>
      <c r="N66" s="11"/>
      <c r="O66" s="11"/>
      <c r="P66" s="11"/>
      <c r="Q66" s="11"/>
      <c r="R66" s="11"/>
      <c r="S66" s="11"/>
      <c r="T66" s="11"/>
      <c r="U66" s="11"/>
      <c r="V66" s="11"/>
      <c r="W66" s="11"/>
      <c r="X66" s="11"/>
      <c r="Y66" s="11"/>
      <c r="Z66" s="11"/>
    </row>
    <row r="67" ht="37.5" customHeight="1">
      <c r="A67" s="11"/>
      <c r="B67" s="50"/>
      <c r="C67" s="51"/>
      <c r="D67" s="50"/>
      <c r="E67" s="11"/>
      <c r="F67" s="11"/>
      <c r="G67" s="11"/>
      <c r="H67" s="11"/>
      <c r="I67" s="11"/>
      <c r="J67" s="11"/>
      <c r="K67" s="11"/>
      <c r="L67" s="11"/>
      <c r="M67" s="11"/>
      <c r="N67" s="11"/>
      <c r="O67" s="11"/>
      <c r="P67" s="11"/>
      <c r="Q67" s="11"/>
      <c r="R67" s="11"/>
      <c r="S67" s="11"/>
      <c r="T67" s="11"/>
      <c r="U67" s="11"/>
      <c r="V67" s="11"/>
      <c r="W67" s="11"/>
      <c r="X67" s="11"/>
      <c r="Y67" s="11"/>
      <c r="Z67" s="11"/>
    </row>
    <row r="68" ht="3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E10:F10"/>
    <mergeCell ref="E11:F12"/>
    <mergeCell ref="G41:G42"/>
  </mergeCells>
  <dataValidations>
    <dataValidation type="list" allowBlank="1" showErrorMessage="1" sqref="C21">
      <formula1>"0,1,2,3,4,5,6,7,8,9,10"</formula1>
    </dataValidation>
    <dataValidation type="list" allowBlank="1" showErrorMessage="1" sqref="C16">
      <formula1>"00,300"</formula1>
    </dataValidation>
    <dataValidation type="list" allowBlank="1" showErrorMessage="1" sqref="C22">
      <formula1>"0.0,1.15,1.2,1.25"</formula1>
    </dataValidation>
    <dataValidation type="list" allowBlank="1" showErrorMessage="1" sqref="C14">
      <formula1>"00,75,4,500"</formula1>
    </dataValidation>
    <dataValidation type="list" allowBlank="1" showErrorMessage="1" sqref="C17">
      <formula1>"00,2,000"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sheetPr>
  <sheetViews>
    <sheetView showGridLines="0" workbookViewId="0"/>
  </sheetViews>
  <sheetFormatPr customHeight="1" defaultColWidth="12.63" defaultRowHeight="15.0"/>
  <cols>
    <col customWidth="1" min="1" max="1" width="19.88"/>
    <col customWidth="1" min="2" max="2" width="15.75"/>
    <col customWidth="1" min="3" max="4" width="31.38"/>
    <col customWidth="1" min="5" max="8" width="18.88"/>
    <col customWidth="1" min="9" max="9" width="13.0"/>
    <col customWidth="1" min="10" max="10" width="37.63"/>
    <col customWidth="1" min="11" max="11" width="18.88"/>
  </cols>
  <sheetData>
    <row r="1" ht="75.0" customHeight="1">
      <c r="A1" s="6"/>
      <c r="B1" s="52" t="s">
        <v>132</v>
      </c>
      <c r="G1" s="53"/>
      <c r="H1" s="53"/>
      <c r="I1" s="6"/>
      <c r="J1" s="6"/>
      <c r="K1" s="54"/>
      <c r="L1" s="6"/>
      <c r="M1" s="6"/>
      <c r="N1" s="6"/>
      <c r="O1" s="6"/>
      <c r="P1" s="6"/>
      <c r="Q1" s="6"/>
      <c r="R1" s="6"/>
      <c r="S1" s="6"/>
      <c r="T1" s="6"/>
      <c r="U1" s="6"/>
      <c r="V1" s="6"/>
      <c r="W1" s="6"/>
      <c r="X1" s="6"/>
      <c r="Y1" s="6"/>
      <c r="Z1" s="6"/>
    </row>
    <row r="2" ht="37.5" customHeight="1">
      <c r="A2" s="6"/>
      <c r="B2" s="55" t="s">
        <v>133</v>
      </c>
      <c r="D2" s="56"/>
      <c r="E2" s="53"/>
      <c r="F2" s="53"/>
      <c r="G2" s="53"/>
      <c r="H2" s="57"/>
      <c r="I2" s="6"/>
      <c r="J2" s="6"/>
      <c r="K2" s="54"/>
      <c r="L2" s="6"/>
      <c r="M2" s="6"/>
      <c r="N2" s="6"/>
      <c r="O2" s="6"/>
      <c r="P2" s="6"/>
      <c r="Q2" s="6"/>
      <c r="R2" s="6"/>
      <c r="S2" s="6"/>
      <c r="T2" s="6"/>
      <c r="U2" s="6"/>
      <c r="V2" s="6"/>
      <c r="W2" s="6"/>
      <c r="X2" s="6"/>
      <c r="Y2" s="6"/>
      <c r="Z2" s="6"/>
    </row>
    <row r="3" ht="22.5" customHeight="1">
      <c r="A3" s="6"/>
      <c r="B3" s="58" t="s">
        <v>134</v>
      </c>
      <c r="C3" s="58" t="s">
        <v>135</v>
      </c>
      <c r="D3" s="58" t="s">
        <v>96</v>
      </c>
      <c r="E3" s="58" t="s">
        <v>136</v>
      </c>
      <c r="F3" s="59" t="s">
        <v>137</v>
      </c>
      <c r="G3" s="53"/>
      <c r="H3" s="53"/>
      <c r="I3" s="6"/>
      <c r="J3" s="6"/>
      <c r="K3" s="54"/>
      <c r="L3" s="6"/>
      <c r="M3" s="6"/>
      <c r="N3" s="6"/>
      <c r="O3" s="6"/>
      <c r="P3" s="6"/>
      <c r="Q3" s="6"/>
      <c r="R3" s="6"/>
      <c r="S3" s="6"/>
      <c r="T3" s="6"/>
      <c r="U3" s="6"/>
      <c r="V3" s="6"/>
      <c r="W3" s="6"/>
      <c r="X3" s="6"/>
      <c r="Y3" s="6"/>
      <c r="Z3" s="6"/>
    </row>
    <row r="4" ht="22.5" customHeight="1">
      <c r="A4" s="6"/>
      <c r="B4" s="60" t="s">
        <v>138</v>
      </c>
      <c r="C4" s="61" t="s">
        <v>109</v>
      </c>
      <c r="D4" s="61" t="s">
        <v>139</v>
      </c>
      <c r="E4" s="61" t="s">
        <v>108</v>
      </c>
      <c r="F4" s="62">
        <v>5000.0</v>
      </c>
      <c r="G4" s="53"/>
      <c r="H4" s="63" t="s">
        <v>140</v>
      </c>
      <c r="I4" s="6"/>
      <c r="J4" s="6"/>
      <c r="K4" s="54"/>
      <c r="L4" s="6"/>
      <c r="M4" s="6"/>
      <c r="N4" s="6"/>
      <c r="O4" s="6"/>
      <c r="P4" s="6"/>
      <c r="Q4" s="6"/>
      <c r="R4" s="6"/>
      <c r="S4" s="6"/>
      <c r="T4" s="6"/>
      <c r="U4" s="6"/>
      <c r="V4" s="6"/>
      <c r="W4" s="6"/>
      <c r="X4" s="6"/>
      <c r="Y4" s="6"/>
      <c r="Z4" s="6"/>
    </row>
    <row r="5" ht="22.5" customHeight="1">
      <c r="A5" s="6"/>
      <c r="B5" s="64" t="s">
        <v>138</v>
      </c>
      <c r="C5" s="61" t="s">
        <v>109</v>
      </c>
      <c r="D5" s="65" t="s">
        <v>141</v>
      </c>
      <c r="E5" s="61" t="s">
        <v>110</v>
      </c>
      <c r="F5" s="62">
        <v>500.0</v>
      </c>
      <c r="G5" s="53"/>
      <c r="H5" s="66">
        <f>30000+10000</f>
        <v>40000</v>
      </c>
      <c r="I5" s="20" t="s">
        <v>57</v>
      </c>
      <c r="J5" s="6"/>
      <c r="K5" s="54"/>
      <c r="L5" s="6"/>
      <c r="M5" s="6"/>
      <c r="N5" s="6"/>
      <c r="O5" s="6"/>
      <c r="P5" s="6"/>
      <c r="Q5" s="6"/>
      <c r="R5" s="6"/>
      <c r="S5" s="6"/>
      <c r="T5" s="6"/>
      <c r="U5" s="6"/>
      <c r="V5" s="6"/>
      <c r="W5" s="6"/>
      <c r="X5" s="6"/>
      <c r="Y5" s="6"/>
      <c r="Z5" s="6"/>
    </row>
    <row r="6" ht="22.5" customHeight="1">
      <c r="A6" s="6"/>
      <c r="B6" s="64" t="s">
        <v>138</v>
      </c>
      <c r="C6" s="65" t="s">
        <v>142</v>
      </c>
      <c r="D6" s="65" t="s">
        <v>143</v>
      </c>
      <c r="E6" s="61" t="s">
        <v>130</v>
      </c>
      <c r="F6" s="62">
        <v>20000.0</v>
      </c>
      <c r="G6" s="53"/>
      <c r="H6" s="67"/>
      <c r="I6" s="23" t="s">
        <v>59</v>
      </c>
      <c r="J6" s="6"/>
      <c r="K6" s="54"/>
      <c r="L6" s="6"/>
      <c r="M6" s="6"/>
      <c r="N6" s="6"/>
      <c r="O6" s="6"/>
      <c r="P6" s="6"/>
      <c r="Q6" s="6"/>
      <c r="R6" s="6"/>
      <c r="S6" s="6"/>
      <c r="T6" s="6"/>
      <c r="U6" s="6"/>
      <c r="V6" s="6"/>
      <c r="W6" s="6"/>
      <c r="X6" s="6"/>
      <c r="Y6" s="6"/>
      <c r="Z6" s="6"/>
    </row>
    <row r="7" ht="22.5" customHeight="1">
      <c r="A7" s="6"/>
      <c r="B7" s="64" t="s">
        <v>138</v>
      </c>
      <c r="C7" s="65" t="s">
        <v>142</v>
      </c>
      <c r="D7" s="65" t="s">
        <v>144</v>
      </c>
      <c r="E7" s="61" t="s">
        <v>105</v>
      </c>
      <c r="F7" s="62">
        <v>7000.0</v>
      </c>
      <c r="G7" s="53"/>
      <c r="H7" s="63"/>
      <c r="I7" s="6"/>
      <c r="J7" s="6"/>
      <c r="K7" s="54"/>
      <c r="L7" s="6"/>
      <c r="M7" s="6"/>
      <c r="N7" s="6"/>
      <c r="O7" s="6"/>
      <c r="P7" s="6"/>
      <c r="Q7" s="6"/>
      <c r="R7" s="6"/>
      <c r="S7" s="6"/>
      <c r="T7" s="6"/>
      <c r="U7" s="6"/>
      <c r="V7" s="6"/>
      <c r="W7" s="6"/>
      <c r="X7" s="6"/>
      <c r="Y7" s="6"/>
      <c r="Z7" s="6"/>
    </row>
    <row r="8" ht="22.5" customHeight="1">
      <c r="A8" s="6"/>
      <c r="B8" s="64" t="s">
        <v>138</v>
      </c>
      <c r="C8" s="65" t="s">
        <v>142</v>
      </c>
      <c r="D8" s="65" t="s">
        <v>145</v>
      </c>
      <c r="E8" s="61" t="s">
        <v>128</v>
      </c>
      <c r="F8" s="62">
        <v>400.0</v>
      </c>
      <c r="G8" s="53"/>
      <c r="H8" s="63"/>
      <c r="I8" s="6"/>
      <c r="J8" s="6"/>
      <c r="K8" s="54"/>
      <c r="L8" s="6"/>
      <c r="M8" s="6"/>
      <c r="N8" s="6"/>
      <c r="O8" s="6"/>
      <c r="P8" s="6"/>
      <c r="Q8" s="6"/>
      <c r="R8" s="6"/>
      <c r="S8" s="6"/>
      <c r="T8" s="6"/>
      <c r="U8" s="6"/>
      <c r="V8" s="6"/>
      <c r="W8" s="6"/>
      <c r="X8" s="6"/>
      <c r="Y8" s="6"/>
      <c r="Z8" s="6"/>
    </row>
    <row r="9" ht="22.5" customHeight="1">
      <c r="A9" s="6"/>
      <c r="B9" s="64" t="s">
        <v>138</v>
      </c>
      <c r="C9" s="65" t="s">
        <v>142</v>
      </c>
      <c r="D9" s="65" t="s">
        <v>146</v>
      </c>
      <c r="E9" s="61" t="s">
        <v>112</v>
      </c>
      <c r="F9" s="62">
        <v>500.0</v>
      </c>
      <c r="G9" s="53"/>
      <c r="H9" s="63" t="s">
        <v>147</v>
      </c>
      <c r="I9" s="6"/>
      <c r="J9" s="6"/>
      <c r="K9" s="54"/>
      <c r="L9" s="6"/>
      <c r="M9" s="6"/>
      <c r="N9" s="6"/>
      <c r="O9" s="6"/>
      <c r="P9" s="6"/>
      <c r="Q9" s="6"/>
      <c r="R9" s="6"/>
      <c r="S9" s="6"/>
      <c r="T9" s="6"/>
      <c r="U9" s="6"/>
      <c r="V9" s="6"/>
      <c r="W9" s="6"/>
      <c r="X9" s="6"/>
      <c r="Y9" s="6"/>
      <c r="Z9" s="6"/>
    </row>
    <row r="10" ht="22.5" customHeight="1">
      <c r="A10" s="6"/>
      <c r="B10" s="64" t="s">
        <v>138</v>
      </c>
      <c r="C10" s="65" t="s">
        <v>115</v>
      </c>
      <c r="D10" s="65" t="s">
        <v>148</v>
      </c>
      <c r="E10" s="61" t="s">
        <v>114</v>
      </c>
      <c r="F10" s="62">
        <f>H10/2</f>
        <v>7500</v>
      </c>
      <c r="G10" s="68"/>
      <c r="H10" s="66">
        <v>15000.0</v>
      </c>
      <c r="I10" s="20" t="s">
        <v>57</v>
      </c>
      <c r="J10" s="6"/>
      <c r="K10" s="54"/>
      <c r="L10" s="6"/>
      <c r="M10" s="6"/>
      <c r="N10" s="6"/>
      <c r="O10" s="6"/>
      <c r="P10" s="6"/>
      <c r="Q10" s="6"/>
      <c r="R10" s="6"/>
      <c r="S10" s="6"/>
      <c r="T10" s="6"/>
      <c r="U10" s="6"/>
      <c r="V10" s="6"/>
      <c r="W10" s="6"/>
      <c r="X10" s="6"/>
      <c r="Y10" s="6"/>
      <c r="Z10" s="6"/>
    </row>
    <row r="11" ht="22.5" customHeight="1">
      <c r="A11" s="6"/>
      <c r="B11" s="64" t="s">
        <v>149</v>
      </c>
      <c r="C11" s="65" t="s">
        <v>115</v>
      </c>
      <c r="D11" s="65" t="s">
        <v>150</v>
      </c>
      <c r="E11" s="61" t="s">
        <v>114</v>
      </c>
      <c r="F11" s="62">
        <f>H10/2</f>
        <v>7500</v>
      </c>
      <c r="G11" s="53"/>
      <c r="H11" s="67"/>
      <c r="I11" s="23" t="s">
        <v>59</v>
      </c>
      <c r="J11" s="6"/>
      <c r="K11" s="54"/>
      <c r="L11" s="6"/>
      <c r="M11" s="6"/>
      <c r="N11" s="6"/>
      <c r="O11" s="6"/>
      <c r="P11" s="6"/>
      <c r="Q11" s="6"/>
      <c r="R11" s="6"/>
      <c r="S11" s="6"/>
      <c r="T11" s="6"/>
      <c r="U11" s="6"/>
      <c r="V11" s="6"/>
      <c r="W11" s="6"/>
      <c r="X11" s="6"/>
      <c r="Y11" s="6"/>
      <c r="Z11" s="6"/>
    </row>
    <row r="12" ht="22.5" customHeight="1">
      <c r="A12" s="6"/>
      <c r="B12" s="64" t="s">
        <v>149</v>
      </c>
      <c r="C12" s="65" t="s">
        <v>151</v>
      </c>
      <c r="D12" s="65" t="s">
        <v>152</v>
      </c>
      <c r="E12" s="61" t="s">
        <v>126</v>
      </c>
      <c r="F12" s="62">
        <f>3000+2200</f>
        <v>5200</v>
      </c>
      <c r="G12" s="53"/>
      <c r="H12" s="53"/>
      <c r="I12" s="69"/>
      <c r="J12" s="6"/>
      <c r="K12" s="54"/>
      <c r="L12" s="6"/>
      <c r="M12" s="6"/>
      <c r="N12" s="6"/>
      <c r="O12" s="6"/>
      <c r="P12" s="6"/>
      <c r="Q12" s="6"/>
      <c r="R12" s="6"/>
      <c r="S12" s="6"/>
      <c r="T12" s="6"/>
      <c r="U12" s="6"/>
      <c r="V12" s="6"/>
      <c r="W12" s="6"/>
      <c r="X12" s="6"/>
      <c r="Y12" s="6"/>
      <c r="Z12" s="6"/>
    </row>
    <row r="13" ht="22.5" customHeight="1">
      <c r="A13" s="6"/>
      <c r="B13" s="64" t="s">
        <v>149</v>
      </c>
      <c r="C13" s="65" t="s">
        <v>151</v>
      </c>
      <c r="D13" s="65" t="s">
        <v>117</v>
      </c>
      <c r="E13" s="61" t="s">
        <v>116</v>
      </c>
      <c r="F13" s="62">
        <f>5000+1600+1600+1600</f>
        <v>9800</v>
      </c>
      <c r="G13" s="53"/>
      <c r="I13" s="69"/>
      <c r="J13" s="6"/>
      <c r="K13" s="54"/>
      <c r="L13" s="6"/>
      <c r="M13" s="6"/>
      <c r="N13" s="6"/>
      <c r="O13" s="6"/>
      <c r="P13" s="6"/>
      <c r="Q13" s="6"/>
      <c r="R13" s="6"/>
      <c r="S13" s="6"/>
      <c r="T13" s="6"/>
      <c r="U13" s="6"/>
      <c r="V13" s="6"/>
      <c r="W13" s="6"/>
      <c r="X13" s="6"/>
      <c r="Y13" s="6"/>
      <c r="Z13" s="6"/>
    </row>
    <row r="14" ht="22.5" customHeight="1">
      <c r="A14" s="6"/>
      <c r="B14" s="64" t="s">
        <v>149</v>
      </c>
      <c r="C14" s="65" t="s">
        <v>151</v>
      </c>
      <c r="D14" s="65" t="s">
        <v>140</v>
      </c>
      <c r="E14" s="61" t="s">
        <v>126</v>
      </c>
      <c r="F14" s="62">
        <f>H5*0.5</f>
        <v>20000</v>
      </c>
      <c r="G14" s="53"/>
      <c r="H14" s="63" t="s">
        <v>119</v>
      </c>
      <c r="I14" s="20"/>
      <c r="J14" s="6"/>
      <c r="K14" s="54"/>
      <c r="L14" s="6"/>
      <c r="M14" s="6"/>
      <c r="N14" s="6"/>
      <c r="O14" s="6"/>
      <c r="P14" s="6"/>
      <c r="Q14" s="6"/>
      <c r="R14" s="6"/>
      <c r="S14" s="6"/>
      <c r="T14" s="6"/>
      <c r="U14" s="6"/>
      <c r="V14" s="6"/>
      <c r="W14" s="6"/>
      <c r="X14" s="6"/>
      <c r="Y14" s="6"/>
      <c r="Z14" s="6"/>
    </row>
    <row r="15" ht="22.5" customHeight="1">
      <c r="A15" s="6"/>
      <c r="B15" s="64" t="s">
        <v>149</v>
      </c>
      <c r="C15" s="65" t="s">
        <v>119</v>
      </c>
      <c r="D15" s="65" t="s">
        <v>148</v>
      </c>
      <c r="E15" s="61" t="s">
        <v>118</v>
      </c>
      <c r="F15" s="62">
        <f>H15/2</f>
        <v>7500</v>
      </c>
      <c r="G15" s="68"/>
      <c r="H15" s="70">
        <v>15000.0</v>
      </c>
      <c r="I15" s="20" t="s">
        <v>57</v>
      </c>
      <c r="J15" s="6"/>
      <c r="K15" s="54"/>
      <c r="L15" s="6"/>
      <c r="M15" s="6"/>
      <c r="N15" s="6"/>
      <c r="O15" s="6"/>
      <c r="P15" s="6"/>
      <c r="Q15" s="6"/>
      <c r="R15" s="6"/>
      <c r="S15" s="6"/>
      <c r="T15" s="6"/>
      <c r="U15" s="6"/>
      <c r="V15" s="6"/>
      <c r="W15" s="6"/>
      <c r="X15" s="6"/>
      <c r="Y15" s="6"/>
      <c r="Z15" s="6"/>
    </row>
    <row r="16" ht="22.5" customHeight="1">
      <c r="A16" s="6"/>
      <c r="B16" s="64" t="s">
        <v>153</v>
      </c>
      <c r="C16" s="65" t="s">
        <v>119</v>
      </c>
      <c r="D16" s="65" t="s">
        <v>150</v>
      </c>
      <c r="E16" s="61" t="s">
        <v>118</v>
      </c>
      <c r="F16" s="62">
        <f>H15/2</f>
        <v>7500</v>
      </c>
      <c r="G16" s="53"/>
      <c r="H16" s="67"/>
      <c r="I16" s="23" t="s">
        <v>59</v>
      </c>
      <c r="J16" s="6"/>
      <c r="K16" s="54"/>
      <c r="L16" s="6"/>
      <c r="M16" s="6"/>
      <c r="N16" s="6"/>
      <c r="O16" s="6"/>
      <c r="P16" s="6"/>
      <c r="Q16" s="6"/>
      <c r="R16" s="6"/>
      <c r="S16" s="6"/>
      <c r="T16" s="6"/>
      <c r="U16" s="6"/>
      <c r="V16" s="6"/>
      <c r="W16" s="6"/>
      <c r="X16" s="6"/>
      <c r="Y16" s="6"/>
      <c r="Z16" s="6"/>
    </row>
    <row r="17" ht="22.5" customHeight="1">
      <c r="A17" s="6"/>
      <c r="B17" s="64" t="s">
        <v>153</v>
      </c>
      <c r="C17" s="65" t="s">
        <v>154</v>
      </c>
      <c r="D17" s="65" t="s">
        <v>155</v>
      </c>
      <c r="E17" s="61" t="s">
        <v>126</v>
      </c>
      <c r="F17" s="62">
        <v>500.0</v>
      </c>
      <c r="G17" s="53"/>
      <c r="H17" s="53"/>
      <c r="I17" s="6"/>
      <c r="J17" s="6"/>
      <c r="K17" s="54"/>
      <c r="L17" s="6"/>
      <c r="M17" s="6"/>
      <c r="N17" s="6"/>
      <c r="O17" s="6"/>
      <c r="P17" s="6"/>
      <c r="Q17" s="6"/>
      <c r="R17" s="6"/>
      <c r="S17" s="6"/>
      <c r="T17" s="6"/>
      <c r="U17" s="6"/>
      <c r="V17" s="6"/>
      <c r="W17" s="6"/>
      <c r="X17" s="6"/>
      <c r="Y17" s="6"/>
      <c r="Z17" s="6"/>
    </row>
    <row r="18" ht="22.5" customHeight="1">
      <c r="A18" s="6"/>
      <c r="B18" s="64" t="s">
        <v>153</v>
      </c>
      <c r="C18" s="65" t="s">
        <v>154</v>
      </c>
      <c r="D18" s="65" t="s">
        <v>156</v>
      </c>
      <c r="E18" s="61" t="s">
        <v>120</v>
      </c>
      <c r="F18" s="62">
        <v>2200.0</v>
      </c>
      <c r="G18" s="53"/>
      <c r="H18" s="53"/>
      <c r="I18" s="6"/>
      <c r="J18" s="6"/>
      <c r="K18" s="54"/>
      <c r="L18" s="6"/>
      <c r="M18" s="6"/>
      <c r="N18" s="6"/>
      <c r="O18" s="6"/>
      <c r="P18" s="6"/>
      <c r="Q18" s="6"/>
      <c r="R18" s="6"/>
      <c r="S18" s="6"/>
      <c r="T18" s="6"/>
      <c r="U18" s="6"/>
      <c r="V18" s="6"/>
      <c r="W18" s="6"/>
      <c r="X18" s="6"/>
      <c r="Y18" s="6"/>
      <c r="Z18" s="6"/>
    </row>
    <row r="19" ht="22.5" customHeight="1">
      <c r="A19" s="6"/>
      <c r="B19" s="64" t="s">
        <v>153</v>
      </c>
      <c r="C19" s="65" t="s">
        <v>154</v>
      </c>
      <c r="D19" s="65" t="s">
        <v>140</v>
      </c>
      <c r="E19" s="61" t="s">
        <v>126</v>
      </c>
      <c r="F19" s="62">
        <f>H5*0.25</f>
        <v>10000</v>
      </c>
      <c r="G19" s="53"/>
      <c r="H19" s="53"/>
      <c r="I19" s="6"/>
      <c r="J19" s="6"/>
      <c r="K19" s="54"/>
      <c r="L19" s="6"/>
      <c r="M19" s="6"/>
      <c r="N19" s="6"/>
      <c r="O19" s="6"/>
      <c r="P19" s="6"/>
      <c r="Q19" s="6"/>
      <c r="R19" s="6"/>
      <c r="S19" s="6"/>
      <c r="T19" s="6"/>
      <c r="U19" s="6"/>
      <c r="V19" s="6"/>
      <c r="W19" s="6"/>
      <c r="X19" s="6"/>
      <c r="Y19" s="6"/>
      <c r="Z19" s="6"/>
    </row>
    <row r="20" ht="22.5" customHeight="1">
      <c r="A20" s="6"/>
      <c r="B20" s="64" t="s">
        <v>153</v>
      </c>
      <c r="C20" s="65" t="s">
        <v>157</v>
      </c>
      <c r="D20" s="65" t="s">
        <v>158</v>
      </c>
      <c r="E20" s="61" t="s">
        <v>126</v>
      </c>
      <c r="F20" s="62">
        <v>6000.0</v>
      </c>
      <c r="G20" s="53"/>
      <c r="H20" s="53"/>
      <c r="I20" s="6"/>
      <c r="J20" s="6"/>
      <c r="K20" s="54"/>
      <c r="L20" s="6"/>
      <c r="M20" s="6"/>
      <c r="N20" s="6"/>
      <c r="O20" s="6"/>
      <c r="P20" s="6"/>
      <c r="Q20" s="6"/>
      <c r="R20" s="6"/>
      <c r="S20" s="6"/>
      <c r="T20" s="6"/>
      <c r="U20" s="6"/>
      <c r="V20" s="6"/>
      <c r="W20" s="6"/>
      <c r="X20" s="6"/>
      <c r="Y20" s="6"/>
      <c r="Z20" s="6"/>
    </row>
    <row r="21" ht="22.5" customHeight="1">
      <c r="A21" s="6"/>
      <c r="B21" s="64" t="s">
        <v>159</v>
      </c>
      <c r="C21" s="65" t="s">
        <v>160</v>
      </c>
      <c r="D21" s="65" t="s">
        <v>161</v>
      </c>
      <c r="E21" s="61" t="s">
        <v>116</v>
      </c>
      <c r="F21" s="62">
        <v>1000.0</v>
      </c>
      <c r="G21" s="53"/>
      <c r="H21" s="53"/>
      <c r="I21" s="6"/>
      <c r="J21" s="6"/>
      <c r="K21" s="54"/>
      <c r="L21" s="6"/>
      <c r="M21" s="6"/>
      <c r="N21" s="6"/>
      <c r="O21" s="6"/>
      <c r="P21" s="6"/>
      <c r="Q21" s="6"/>
      <c r="R21" s="6"/>
      <c r="S21" s="6"/>
      <c r="T21" s="6"/>
      <c r="U21" s="6"/>
      <c r="V21" s="6"/>
      <c r="W21" s="6"/>
      <c r="X21" s="6"/>
      <c r="Y21" s="6"/>
      <c r="Z21" s="6"/>
    </row>
    <row r="22" ht="22.5" customHeight="1">
      <c r="A22" s="6"/>
      <c r="B22" s="64" t="s">
        <v>159</v>
      </c>
      <c r="C22" s="65" t="s">
        <v>160</v>
      </c>
      <c r="D22" s="65" t="s">
        <v>140</v>
      </c>
      <c r="E22" s="61" t="s">
        <v>126</v>
      </c>
      <c r="F22" s="62">
        <f>H5*0.25</f>
        <v>10000</v>
      </c>
      <c r="G22" s="53"/>
      <c r="H22" s="53"/>
      <c r="I22" s="6"/>
      <c r="J22" s="6"/>
      <c r="K22" s="54"/>
      <c r="L22" s="6"/>
      <c r="M22" s="6"/>
      <c r="N22" s="6"/>
      <c r="O22" s="6"/>
      <c r="P22" s="6"/>
      <c r="Q22" s="6"/>
      <c r="R22" s="6"/>
      <c r="S22" s="6"/>
      <c r="T22" s="6"/>
      <c r="U22" s="6"/>
      <c r="V22" s="6"/>
      <c r="W22" s="6"/>
      <c r="X22" s="6"/>
      <c r="Y22" s="6"/>
      <c r="Z22" s="6"/>
    </row>
    <row r="23" ht="22.5" customHeight="1">
      <c r="A23" s="6"/>
      <c r="B23" s="64" t="s">
        <v>159</v>
      </c>
      <c r="C23" s="65" t="s">
        <v>160</v>
      </c>
      <c r="D23" s="65" t="s">
        <v>162</v>
      </c>
      <c r="E23" s="61" t="s">
        <v>128</v>
      </c>
      <c r="F23" s="62">
        <v>400.0</v>
      </c>
      <c r="G23" s="53"/>
      <c r="H23" s="53"/>
      <c r="I23" s="6"/>
      <c r="J23" s="6"/>
      <c r="K23" s="54"/>
      <c r="L23" s="6"/>
      <c r="M23" s="6"/>
      <c r="N23" s="6"/>
      <c r="O23" s="6"/>
      <c r="P23" s="6"/>
      <c r="Q23" s="6"/>
      <c r="R23" s="6"/>
      <c r="S23" s="6"/>
      <c r="T23" s="6"/>
      <c r="U23" s="6"/>
      <c r="V23" s="6"/>
      <c r="W23" s="6"/>
      <c r="X23" s="6"/>
      <c r="Y23" s="6"/>
      <c r="Z23" s="6"/>
    </row>
    <row r="24" ht="22.5" customHeight="1">
      <c r="A24" s="6"/>
      <c r="B24" s="64" t="s">
        <v>159</v>
      </c>
      <c r="C24" s="65" t="s">
        <v>163</v>
      </c>
      <c r="D24" s="65" t="s">
        <v>164</v>
      </c>
      <c r="E24" s="61" t="s">
        <v>110</v>
      </c>
      <c r="F24" s="62">
        <v>15000.0</v>
      </c>
      <c r="G24" s="53"/>
      <c r="H24" s="53"/>
      <c r="I24" s="6"/>
      <c r="J24" s="6"/>
      <c r="K24" s="54"/>
      <c r="L24" s="6"/>
      <c r="M24" s="6"/>
      <c r="N24" s="6"/>
      <c r="O24" s="6"/>
      <c r="P24" s="6"/>
      <c r="Q24" s="6"/>
      <c r="R24" s="6"/>
      <c r="S24" s="6"/>
      <c r="T24" s="6"/>
      <c r="U24" s="6"/>
      <c r="V24" s="6"/>
      <c r="W24" s="6"/>
      <c r="X24" s="6"/>
      <c r="Y24" s="6"/>
      <c r="Z24" s="6"/>
    </row>
    <row r="25" ht="22.5" customHeight="1">
      <c r="A25" s="6"/>
      <c r="B25" s="64" t="s">
        <v>165</v>
      </c>
      <c r="C25" s="65" t="s">
        <v>163</v>
      </c>
      <c r="D25" s="65" t="s">
        <v>131</v>
      </c>
      <c r="E25" s="61" t="s">
        <v>130</v>
      </c>
      <c r="F25" s="62">
        <v>3000.0</v>
      </c>
      <c r="G25" s="53"/>
      <c r="J25" s="6"/>
      <c r="K25" s="54"/>
      <c r="L25" s="6"/>
      <c r="M25" s="6"/>
      <c r="N25" s="6"/>
      <c r="O25" s="6"/>
      <c r="P25" s="6"/>
      <c r="Q25" s="6"/>
      <c r="R25" s="6"/>
      <c r="S25" s="6"/>
      <c r="T25" s="6"/>
      <c r="U25" s="6"/>
      <c r="V25" s="6"/>
      <c r="W25" s="6"/>
      <c r="X25" s="6"/>
      <c r="Y25" s="6"/>
      <c r="Z25" s="6"/>
    </row>
    <row r="26" ht="22.5" customHeight="1">
      <c r="A26" s="6"/>
      <c r="B26" s="64" t="s">
        <v>165</v>
      </c>
      <c r="C26" s="65" t="s">
        <v>166</v>
      </c>
      <c r="D26" s="65" t="s">
        <v>167</v>
      </c>
      <c r="E26" s="61"/>
      <c r="F26" s="62">
        <v>3000.0</v>
      </c>
      <c r="G26" s="53"/>
      <c r="H26" s="53"/>
      <c r="I26" s="6"/>
      <c r="J26" s="6"/>
      <c r="K26" s="54"/>
      <c r="L26" s="6"/>
      <c r="M26" s="6"/>
      <c r="N26" s="6"/>
      <c r="O26" s="6"/>
      <c r="P26" s="6"/>
      <c r="Q26" s="6"/>
      <c r="R26" s="6"/>
      <c r="S26" s="6"/>
      <c r="T26" s="6"/>
      <c r="U26" s="6"/>
      <c r="V26" s="6"/>
      <c r="W26" s="6"/>
      <c r="X26" s="6"/>
      <c r="Y26" s="6"/>
      <c r="Z26" s="6"/>
    </row>
    <row r="27" ht="22.5" customHeight="1">
      <c r="A27" s="6"/>
      <c r="B27" s="64" t="s">
        <v>165</v>
      </c>
      <c r="C27" s="65" t="s">
        <v>168</v>
      </c>
      <c r="D27" s="65" t="s">
        <v>169</v>
      </c>
      <c r="E27" s="61"/>
      <c r="F27" s="62">
        <v>2000.0</v>
      </c>
      <c r="G27" s="53"/>
      <c r="H27" s="53"/>
      <c r="I27" s="6"/>
      <c r="J27" s="6"/>
      <c r="K27" s="54"/>
      <c r="L27" s="6"/>
      <c r="M27" s="6"/>
      <c r="N27" s="6"/>
      <c r="O27" s="6"/>
      <c r="P27" s="6"/>
      <c r="Q27" s="6"/>
      <c r="R27" s="6"/>
      <c r="S27" s="6"/>
      <c r="T27" s="6"/>
      <c r="U27" s="6"/>
      <c r="V27" s="6"/>
      <c r="W27" s="6"/>
      <c r="X27" s="6"/>
      <c r="Y27" s="6"/>
      <c r="Z27" s="6"/>
    </row>
    <row r="28" ht="22.5" customHeight="1">
      <c r="A28" s="6"/>
      <c r="B28" s="71"/>
      <c r="C28" s="71"/>
      <c r="D28" s="71"/>
      <c r="E28" s="53"/>
      <c r="F28" s="53"/>
      <c r="G28" s="53"/>
      <c r="H28" s="72" t="s">
        <v>170</v>
      </c>
      <c r="J28" s="6"/>
      <c r="K28" s="54"/>
      <c r="L28" s="6"/>
      <c r="M28" s="6"/>
      <c r="N28" s="6"/>
      <c r="O28" s="6"/>
      <c r="P28" s="6"/>
      <c r="Q28" s="6"/>
      <c r="R28" s="6"/>
      <c r="S28" s="6"/>
      <c r="T28" s="6"/>
      <c r="U28" s="6"/>
      <c r="V28" s="6"/>
      <c r="W28" s="6"/>
      <c r="X28" s="6"/>
      <c r="Y28" s="6"/>
      <c r="Z28" s="6"/>
    </row>
    <row r="29" ht="37.5" customHeight="1">
      <c r="A29" s="6"/>
      <c r="B29" s="55" t="s">
        <v>171</v>
      </c>
      <c r="D29" s="56"/>
      <c r="E29" s="53"/>
      <c r="F29" s="53"/>
      <c r="G29" s="53"/>
      <c r="H29" s="53"/>
      <c r="I29" s="6"/>
      <c r="J29" s="6"/>
      <c r="K29" s="54"/>
      <c r="L29" s="6"/>
      <c r="M29" s="6"/>
      <c r="N29" s="6"/>
      <c r="O29" s="6"/>
      <c r="P29" s="6"/>
      <c r="Q29" s="6"/>
      <c r="R29" s="6"/>
      <c r="S29" s="6"/>
      <c r="T29" s="6"/>
      <c r="U29" s="6"/>
      <c r="V29" s="6"/>
      <c r="W29" s="6"/>
      <c r="X29" s="6"/>
      <c r="Y29" s="6"/>
      <c r="Z29" s="6"/>
    </row>
    <row r="30" ht="22.5" customHeight="1">
      <c r="A30" s="6"/>
      <c r="B30" s="58" t="s">
        <v>134</v>
      </c>
      <c r="C30" s="58" t="s">
        <v>135</v>
      </c>
      <c r="D30" s="58" t="s">
        <v>96</v>
      </c>
      <c r="E30" s="58" t="s">
        <v>136</v>
      </c>
      <c r="F30" s="58" t="s">
        <v>95</v>
      </c>
      <c r="G30" s="58" t="s">
        <v>172</v>
      </c>
      <c r="H30" s="59" t="s">
        <v>173</v>
      </c>
      <c r="I30" s="6"/>
      <c r="K30" s="73"/>
      <c r="L30" s="6"/>
      <c r="M30" s="6"/>
      <c r="N30" s="6"/>
      <c r="O30" s="6"/>
      <c r="P30" s="6"/>
      <c r="Q30" s="6"/>
      <c r="R30" s="6"/>
      <c r="S30" s="6"/>
      <c r="T30" s="6"/>
      <c r="U30" s="6"/>
      <c r="V30" s="6"/>
      <c r="W30" s="6"/>
      <c r="X30" s="6"/>
      <c r="Y30" s="6"/>
      <c r="Z30" s="6"/>
    </row>
    <row r="31" ht="22.5" customHeight="1">
      <c r="A31" s="8"/>
      <c r="B31" s="60" t="s">
        <v>138</v>
      </c>
      <c r="C31" s="61" t="s">
        <v>109</v>
      </c>
      <c r="D31" s="61" t="s">
        <v>174</v>
      </c>
      <c r="E31" s="61"/>
      <c r="F31" s="61">
        <f>IFERROR(VLOOKUP(E31,DATA!$B$45:$C$48,2,FALSE),0)</f>
        <v>0</v>
      </c>
      <c r="G31" s="74">
        <v>0.0</v>
      </c>
      <c r="H31" s="75">
        <f t="shared" ref="H31:H80" si="1">G31*F31</f>
        <v>0</v>
      </c>
      <c r="I31" s="8"/>
      <c r="L31" s="8"/>
      <c r="M31" s="8"/>
      <c r="N31" s="8"/>
      <c r="O31" s="8"/>
      <c r="P31" s="8"/>
      <c r="Q31" s="8"/>
      <c r="R31" s="8"/>
      <c r="S31" s="8"/>
      <c r="T31" s="8"/>
      <c r="U31" s="8"/>
      <c r="V31" s="8"/>
      <c r="W31" s="8"/>
      <c r="X31" s="8"/>
      <c r="Y31" s="8"/>
      <c r="Z31" s="8"/>
    </row>
    <row r="32" ht="22.5" customHeight="1">
      <c r="A32" s="8"/>
      <c r="B32" s="64" t="s">
        <v>138</v>
      </c>
      <c r="C32" s="65" t="s">
        <v>109</v>
      </c>
      <c r="D32" s="65" t="s">
        <v>175</v>
      </c>
      <c r="E32" s="65"/>
      <c r="F32" s="61">
        <f>IFERROR(VLOOKUP(E32,DATA!$B$45:$C$48,2,FALSE),0)</f>
        <v>0</v>
      </c>
      <c r="G32" s="74">
        <v>0.0</v>
      </c>
      <c r="H32" s="76">
        <f t="shared" si="1"/>
        <v>0</v>
      </c>
      <c r="I32" s="8"/>
      <c r="L32" s="8"/>
      <c r="M32" s="8"/>
      <c r="N32" s="8"/>
      <c r="O32" s="8"/>
      <c r="P32" s="8"/>
      <c r="Q32" s="8"/>
      <c r="R32" s="8"/>
      <c r="S32" s="8"/>
      <c r="T32" s="8"/>
      <c r="U32" s="8"/>
      <c r="V32" s="8"/>
      <c r="W32" s="8"/>
      <c r="X32" s="8"/>
      <c r="Y32" s="8"/>
      <c r="Z32" s="8"/>
    </row>
    <row r="33" ht="22.5" customHeight="1">
      <c r="A33" s="8"/>
      <c r="B33" s="64" t="s">
        <v>138</v>
      </c>
      <c r="C33" s="65" t="s">
        <v>142</v>
      </c>
      <c r="D33" s="65" t="s">
        <v>174</v>
      </c>
      <c r="E33" s="65"/>
      <c r="F33" s="61">
        <f>IFERROR(VLOOKUP(E33,DATA!$B$45:$C$48,2,FALSE),0)</f>
        <v>0</v>
      </c>
      <c r="G33" s="74">
        <v>0.0</v>
      </c>
      <c r="H33" s="76">
        <f t="shared" si="1"/>
        <v>0</v>
      </c>
      <c r="I33" s="8"/>
      <c r="L33" s="8"/>
      <c r="M33" s="8"/>
      <c r="N33" s="8"/>
      <c r="O33" s="8"/>
      <c r="P33" s="8"/>
      <c r="Q33" s="8"/>
      <c r="R33" s="8"/>
      <c r="S33" s="8"/>
      <c r="T33" s="8"/>
      <c r="U33" s="8"/>
      <c r="V33" s="8"/>
      <c r="W33" s="8"/>
      <c r="X33" s="8"/>
      <c r="Y33" s="8"/>
      <c r="Z33" s="8"/>
    </row>
    <row r="34" ht="22.5" customHeight="1">
      <c r="A34" s="8"/>
      <c r="B34" s="64" t="s">
        <v>138</v>
      </c>
      <c r="C34" s="65" t="s">
        <v>142</v>
      </c>
      <c r="D34" s="65" t="s">
        <v>175</v>
      </c>
      <c r="E34" s="65"/>
      <c r="F34" s="61">
        <f>IFERROR(VLOOKUP(E34,DATA!$B$45:$C$48,2,FALSE),0)</f>
        <v>0</v>
      </c>
      <c r="G34" s="74">
        <v>0.0</v>
      </c>
      <c r="H34" s="76">
        <f t="shared" si="1"/>
        <v>0</v>
      </c>
      <c r="I34" s="8"/>
      <c r="L34" s="8"/>
      <c r="M34" s="8"/>
      <c r="N34" s="8"/>
      <c r="O34" s="8"/>
      <c r="P34" s="8"/>
      <c r="Q34" s="8"/>
      <c r="R34" s="8"/>
      <c r="S34" s="8"/>
      <c r="T34" s="8"/>
      <c r="U34" s="8"/>
      <c r="V34" s="8"/>
      <c r="W34" s="8"/>
      <c r="X34" s="8"/>
      <c r="Y34" s="8"/>
      <c r="Z34" s="8"/>
    </row>
    <row r="35" ht="22.5" customHeight="1">
      <c r="A35" s="8"/>
      <c r="B35" s="64" t="s">
        <v>138</v>
      </c>
      <c r="C35" s="65" t="s">
        <v>142</v>
      </c>
      <c r="D35" s="65" t="s">
        <v>176</v>
      </c>
      <c r="E35" s="65"/>
      <c r="F35" s="61">
        <f>IFERROR(VLOOKUP(E35,DATA!$B$45:$C$48,2,FALSE),0)</f>
        <v>0</v>
      </c>
      <c r="G35" s="74">
        <v>0.0</v>
      </c>
      <c r="H35" s="76">
        <f t="shared" si="1"/>
        <v>0</v>
      </c>
      <c r="I35" s="8"/>
      <c r="L35" s="8"/>
      <c r="M35" s="8"/>
      <c r="N35" s="8"/>
      <c r="O35" s="8"/>
      <c r="P35" s="8"/>
      <c r="Q35" s="8"/>
      <c r="R35" s="8"/>
      <c r="S35" s="8"/>
      <c r="T35" s="8"/>
      <c r="U35" s="8"/>
      <c r="V35" s="8"/>
      <c r="W35" s="8"/>
      <c r="X35" s="8"/>
      <c r="Y35" s="8"/>
      <c r="Z35" s="8"/>
    </row>
    <row r="36" ht="22.5" customHeight="1">
      <c r="A36" s="8"/>
      <c r="B36" s="64" t="s">
        <v>138</v>
      </c>
      <c r="C36" s="65" t="s">
        <v>142</v>
      </c>
      <c r="D36" s="65" t="s">
        <v>177</v>
      </c>
      <c r="E36" s="65"/>
      <c r="F36" s="61">
        <f>IFERROR(VLOOKUP(E36,DATA!$B$45:$C$48,2,FALSE),0)</f>
        <v>0</v>
      </c>
      <c r="G36" s="74">
        <v>0.0</v>
      </c>
      <c r="H36" s="76">
        <f t="shared" si="1"/>
        <v>0</v>
      </c>
      <c r="I36" s="8"/>
      <c r="L36" s="8"/>
      <c r="M36" s="8"/>
      <c r="N36" s="8"/>
      <c r="O36" s="8"/>
      <c r="P36" s="8"/>
      <c r="Q36" s="8"/>
      <c r="R36" s="8"/>
      <c r="S36" s="8"/>
      <c r="T36" s="8"/>
      <c r="U36" s="8"/>
      <c r="V36" s="8"/>
      <c r="W36" s="8"/>
      <c r="X36" s="8"/>
      <c r="Y36" s="8"/>
      <c r="Z36" s="8"/>
    </row>
    <row r="37" ht="22.5" customHeight="1">
      <c r="A37" s="8"/>
      <c r="B37" s="64" t="s">
        <v>138</v>
      </c>
      <c r="C37" s="65" t="s">
        <v>142</v>
      </c>
      <c r="D37" s="65" t="s">
        <v>177</v>
      </c>
      <c r="E37" s="65"/>
      <c r="F37" s="61">
        <f>IFERROR(VLOOKUP(E37,DATA!$B$45:$C$48,2,FALSE),0)</f>
        <v>0</v>
      </c>
      <c r="G37" s="74">
        <v>0.0</v>
      </c>
      <c r="H37" s="76">
        <f t="shared" si="1"/>
        <v>0</v>
      </c>
      <c r="I37" s="8"/>
      <c r="L37" s="8"/>
      <c r="M37" s="8"/>
      <c r="N37" s="8"/>
      <c r="O37" s="8"/>
      <c r="P37" s="8"/>
      <c r="Q37" s="8"/>
      <c r="R37" s="8"/>
      <c r="S37" s="8"/>
      <c r="T37" s="8"/>
      <c r="U37" s="8"/>
      <c r="V37" s="8"/>
      <c r="W37" s="8"/>
      <c r="X37" s="8"/>
      <c r="Y37" s="8"/>
      <c r="Z37" s="8"/>
    </row>
    <row r="38" ht="22.5" customHeight="1">
      <c r="A38" s="8"/>
      <c r="B38" s="64" t="s">
        <v>138</v>
      </c>
      <c r="C38" s="65" t="s">
        <v>115</v>
      </c>
      <c r="D38" s="65" t="s">
        <v>174</v>
      </c>
      <c r="E38" s="65"/>
      <c r="F38" s="61">
        <f>IFERROR(VLOOKUP(E38,DATA!$B$45:$C$48,2,FALSE),0)</f>
        <v>0</v>
      </c>
      <c r="G38" s="74">
        <v>0.0</v>
      </c>
      <c r="H38" s="76">
        <f t="shared" si="1"/>
        <v>0</v>
      </c>
      <c r="I38" s="8"/>
      <c r="L38" s="8"/>
      <c r="M38" s="8"/>
      <c r="N38" s="8"/>
      <c r="O38" s="8"/>
      <c r="P38" s="8"/>
      <c r="Q38" s="8"/>
      <c r="R38" s="8"/>
      <c r="S38" s="8"/>
      <c r="T38" s="8"/>
      <c r="U38" s="8"/>
      <c r="V38" s="8"/>
      <c r="W38" s="8"/>
      <c r="X38" s="8"/>
      <c r="Y38" s="8"/>
      <c r="Z38" s="8"/>
    </row>
    <row r="39" ht="22.5" customHeight="1">
      <c r="A39" s="8"/>
      <c r="B39" s="64" t="s">
        <v>138</v>
      </c>
      <c r="C39" s="65" t="s">
        <v>115</v>
      </c>
      <c r="D39" s="65" t="s">
        <v>175</v>
      </c>
      <c r="E39" s="65"/>
      <c r="F39" s="61">
        <f>IFERROR(VLOOKUP(E39,DATA!$B$45:$C$48,2,FALSE),0)</f>
        <v>0</v>
      </c>
      <c r="G39" s="74">
        <v>0.0</v>
      </c>
      <c r="H39" s="76">
        <f t="shared" si="1"/>
        <v>0</v>
      </c>
      <c r="I39" s="8"/>
      <c r="L39" s="8"/>
      <c r="M39" s="8"/>
      <c r="N39" s="8"/>
      <c r="O39" s="8"/>
      <c r="P39" s="8"/>
      <c r="Q39" s="8"/>
      <c r="R39" s="8"/>
      <c r="S39" s="8"/>
      <c r="T39" s="8"/>
      <c r="U39" s="8"/>
      <c r="V39" s="8"/>
      <c r="W39" s="8"/>
      <c r="X39" s="8"/>
      <c r="Y39" s="8"/>
      <c r="Z39" s="8"/>
    </row>
    <row r="40" ht="22.5" customHeight="1">
      <c r="A40" s="8"/>
      <c r="B40" s="64" t="s">
        <v>149</v>
      </c>
      <c r="C40" s="65" t="s">
        <v>115</v>
      </c>
      <c r="D40" s="65" t="s">
        <v>174</v>
      </c>
      <c r="E40" s="65"/>
      <c r="F40" s="61">
        <f>IFERROR(VLOOKUP(E40,DATA!$B$45:$C$48,2,FALSE),0)</f>
        <v>0</v>
      </c>
      <c r="G40" s="74">
        <v>0.0</v>
      </c>
      <c r="H40" s="76">
        <f t="shared" si="1"/>
        <v>0</v>
      </c>
      <c r="I40" s="8"/>
      <c r="L40" s="8"/>
      <c r="M40" s="8"/>
      <c r="N40" s="8"/>
      <c r="O40" s="8"/>
      <c r="P40" s="8"/>
      <c r="Q40" s="8"/>
      <c r="R40" s="8"/>
      <c r="S40" s="8"/>
      <c r="T40" s="8"/>
      <c r="U40" s="8"/>
      <c r="V40" s="8"/>
      <c r="W40" s="8"/>
      <c r="X40" s="8"/>
      <c r="Y40" s="8"/>
      <c r="Z40" s="8"/>
    </row>
    <row r="41" ht="22.5" customHeight="1">
      <c r="A41" s="8"/>
      <c r="B41" s="64" t="s">
        <v>149</v>
      </c>
      <c r="C41" s="65" t="s">
        <v>115</v>
      </c>
      <c r="D41" s="65" t="s">
        <v>175</v>
      </c>
      <c r="E41" s="65"/>
      <c r="F41" s="61">
        <f>IFERROR(VLOOKUP(E41,DATA!$B$45:$C$48,2,FALSE),0)</f>
        <v>0</v>
      </c>
      <c r="G41" s="74">
        <v>0.0</v>
      </c>
      <c r="H41" s="76">
        <f t="shared" si="1"/>
        <v>0</v>
      </c>
      <c r="I41" s="8"/>
      <c r="L41" s="8"/>
      <c r="M41" s="8"/>
      <c r="N41" s="8"/>
      <c r="O41" s="8"/>
      <c r="P41" s="8"/>
      <c r="Q41" s="8"/>
      <c r="R41" s="8"/>
      <c r="S41" s="8"/>
      <c r="T41" s="8"/>
      <c r="U41" s="8"/>
      <c r="V41" s="8"/>
      <c r="W41" s="8"/>
      <c r="X41" s="8"/>
      <c r="Y41" s="8"/>
      <c r="Z41" s="8"/>
    </row>
    <row r="42" ht="22.5" customHeight="1">
      <c r="A42" s="8"/>
      <c r="B42" s="64" t="s">
        <v>149</v>
      </c>
      <c r="C42" s="65" t="s">
        <v>151</v>
      </c>
      <c r="D42" s="65" t="s">
        <v>174</v>
      </c>
      <c r="E42" s="65"/>
      <c r="F42" s="61">
        <f>IFERROR(VLOOKUP(E42,DATA!$B$45:$C$48,2,FALSE),0)</f>
        <v>0</v>
      </c>
      <c r="G42" s="74">
        <v>0.0</v>
      </c>
      <c r="H42" s="76">
        <f t="shared" si="1"/>
        <v>0</v>
      </c>
      <c r="I42" s="8"/>
      <c r="L42" s="8"/>
      <c r="M42" s="8"/>
      <c r="N42" s="8"/>
      <c r="O42" s="8"/>
      <c r="P42" s="8"/>
      <c r="Q42" s="8"/>
      <c r="R42" s="8"/>
      <c r="S42" s="8"/>
      <c r="T42" s="8"/>
      <c r="U42" s="8"/>
      <c r="V42" s="8"/>
      <c r="W42" s="8"/>
      <c r="X42" s="8"/>
      <c r="Y42" s="8"/>
      <c r="Z42" s="8"/>
    </row>
    <row r="43" ht="22.5" customHeight="1">
      <c r="A43" s="8"/>
      <c r="B43" s="64" t="s">
        <v>149</v>
      </c>
      <c r="C43" s="65" t="s">
        <v>151</v>
      </c>
      <c r="D43" s="65" t="s">
        <v>175</v>
      </c>
      <c r="E43" s="65"/>
      <c r="F43" s="61">
        <f>IFERROR(VLOOKUP(E43,DATA!$B$45:$C$48,2,FALSE),0)</f>
        <v>0</v>
      </c>
      <c r="G43" s="74">
        <v>0.0</v>
      </c>
      <c r="H43" s="76">
        <f t="shared" si="1"/>
        <v>0</v>
      </c>
      <c r="I43" s="8"/>
      <c r="L43" s="8"/>
      <c r="M43" s="8"/>
      <c r="N43" s="8"/>
      <c r="O43" s="8"/>
      <c r="P43" s="8"/>
      <c r="Q43" s="8"/>
      <c r="R43" s="8"/>
      <c r="S43" s="8"/>
      <c r="T43" s="8"/>
      <c r="U43" s="8"/>
      <c r="V43" s="8"/>
      <c r="W43" s="8"/>
      <c r="X43" s="8"/>
      <c r="Y43" s="8"/>
      <c r="Z43" s="8"/>
    </row>
    <row r="44" ht="22.5" customHeight="1">
      <c r="A44" s="8"/>
      <c r="B44" s="64" t="s">
        <v>149</v>
      </c>
      <c r="C44" s="65" t="s">
        <v>151</v>
      </c>
      <c r="D44" s="65" t="s">
        <v>176</v>
      </c>
      <c r="E44" s="65"/>
      <c r="F44" s="61">
        <f>IFERROR(VLOOKUP(E44,DATA!$B$45:$C$48,2,FALSE),0)</f>
        <v>0</v>
      </c>
      <c r="G44" s="74">
        <v>0.0</v>
      </c>
      <c r="H44" s="76">
        <f t="shared" si="1"/>
        <v>0</v>
      </c>
      <c r="I44" s="8"/>
      <c r="L44" s="8"/>
      <c r="M44" s="8"/>
      <c r="N44" s="8"/>
      <c r="O44" s="8"/>
      <c r="P44" s="8"/>
      <c r="Q44" s="8"/>
      <c r="R44" s="8"/>
      <c r="S44" s="8"/>
      <c r="T44" s="8"/>
      <c r="U44" s="8"/>
      <c r="V44" s="8"/>
      <c r="W44" s="8"/>
      <c r="X44" s="8"/>
      <c r="Y44" s="8"/>
      <c r="Z44" s="8"/>
    </row>
    <row r="45" ht="22.5" customHeight="1">
      <c r="A45" s="8"/>
      <c r="B45" s="64" t="s">
        <v>149</v>
      </c>
      <c r="C45" s="65" t="s">
        <v>151</v>
      </c>
      <c r="D45" s="65" t="s">
        <v>178</v>
      </c>
      <c r="E45" s="65"/>
      <c r="F45" s="61">
        <f>IFERROR(VLOOKUP(E45,DATA!$B$45:$C$48,2,FALSE),0)</f>
        <v>0</v>
      </c>
      <c r="G45" s="74">
        <v>0.0</v>
      </c>
      <c r="H45" s="76">
        <f t="shared" si="1"/>
        <v>0</v>
      </c>
      <c r="I45" s="8"/>
      <c r="L45" s="8"/>
      <c r="M45" s="8"/>
      <c r="N45" s="8"/>
      <c r="O45" s="8"/>
      <c r="P45" s="8"/>
      <c r="Q45" s="8"/>
      <c r="R45" s="8"/>
      <c r="S45" s="8"/>
      <c r="T45" s="8"/>
      <c r="U45" s="8"/>
      <c r="V45" s="8"/>
      <c r="W45" s="8"/>
      <c r="X45" s="8"/>
      <c r="Y45" s="8"/>
      <c r="Z45" s="8"/>
    </row>
    <row r="46" ht="22.5" customHeight="1">
      <c r="A46" s="8"/>
      <c r="B46" s="64" t="s">
        <v>149</v>
      </c>
      <c r="C46" s="65" t="s">
        <v>151</v>
      </c>
      <c r="D46" s="65" t="s">
        <v>178</v>
      </c>
      <c r="E46" s="65"/>
      <c r="F46" s="61">
        <f>IFERROR(VLOOKUP(E46,DATA!$B$45:$C$48,2,FALSE),0)</f>
        <v>0</v>
      </c>
      <c r="G46" s="74">
        <v>0.0</v>
      </c>
      <c r="H46" s="76">
        <f t="shared" si="1"/>
        <v>0</v>
      </c>
      <c r="I46" s="8"/>
      <c r="L46" s="8"/>
      <c r="M46" s="8"/>
      <c r="N46" s="8"/>
      <c r="O46" s="8"/>
      <c r="P46" s="8"/>
      <c r="Q46" s="8"/>
      <c r="R46" s="8"/>
      <c r="S46" s="8"/>
      <c r="T46" s="8"/>
      <c r="U46" s="8"/>
      <c r="V46" s="8"/>
      <c r="W46" s="8"/>
      <c r="X46" s="8"/>
      <c r="Y46" s="8"/>
      <c r="Z46" s="8"/>
    </row>
    <row r="47" ht="22.5" customHeight="1">
      <c r="A47" s="8"/>
      <c r="B47" s="64" t="s">
        <v>149</v>
      </c>
      <c r="C47" s="65" t="s">
        <v>119</v>
      </c>
      <c r="D47" s="65" t="s">
        <v>174</v>
      </c>
      <c r="E47" s="65"/>
      <c r="F47" s="61">
        <f>IFERROR(VLOOKUP(E47,DATA!$B$45:$C$48,2,FALSE),0)</f>
        <v>0</v>
      </c>
      <c r="G47" s="74">
        <v>0.0</v>
      </c>
      <c r="H47" s="76">
        <f t="shared" si="1"/>
        <v>0</v>
      </c>
      <c r="I47" s="8"/>
      <c r="L47" s="8"/>
      <c r="M47" s="8"/>
      <c r="N47" s="8"/>
      <c r="O47" s="8"/>
      <c r="P47" s="8"/>
      <c r="Q47" s="8"/>
      <c r="R47" s="8"/>
      <c r="S47" s="8"/>
      <c r="T47" s="8"/>
      <c r="U47" s="8"/>
      <c r="V47" s="8"/>
      <c r="W47" s="8"/>
      <c r="X47" s="8"/>
      <c r="Y47" s="8"/>
      <c r="Z47" s="8"/>
    </row>
    <row r="48" ht="22.5" customHeight="1">
      <c r="A48" s="8"/>
      <c r="B48" s="64" t="s">
        <v>149</v>
      </c>
      <c r="C48" s="65" t="s">
        <v>119</v>
      </c>
      <c r="D48" s="65" t="s">
        <v>175</v>
      </c>
      <c r="E48" s="65"/>
      <c r="F48" s="61">
        <f>IFERROR(VLOOKUP(E48,DATA!$B$45:$C$48,2,FALSE),0)</f>
        <v>0</v>
      </c>
      <c r="G48" s="74">
        <v>0.0</v>
      </c>
      <c r="H48" s="76">
        <f t="shared" si="1"/>
        <v>0</v>
      </c>
      <c r="I48" s="8"/>
      <c r="L48" s="8"/>
      <c r="M48" s="8"/>
      <c r="N48" s="8"/>
      <c r="O48" s="8"/>
      <c r="P48" s="8"/>
      <c r="Q48" s="8"/>
      <c r="R48" s="8"/>
      <c r="S48" s="8"/>
      <c r="T48" s="8"/>
      <c r="U48" s="8"/>
      <c r="V48" s="8"/>
      <c r="W48" s="8"/>
      <c r="X48" s="8"/>
      <c r="Y48" s="8"/>
      <c r="Z48" s="8"/>
    </row>
    <row r="49" ht="22.5" customHeight="1">
      <c r="A49" s="6"/>
      <c r="B49" s="64" t="s">
        <v>153</v>
      </c>
      <c r="C49" s="65" t="s">
        <v>119</v>
      </c>
      <c r="D49" s="65" t="s">
        <v>174</v>
      </c>
      <c r="E49" s="65"/>
      <c r="F49" s="61">
        <f>IFERROR(VLOOKUP(E49,DATA!$B$45:$C$48,2,FALSE),0)</f>
        <v>0</v>
      </c>
      <c r="G49" s="74">
        <v>0.0</v>
      </c>
      <c r="H49" s="76">
        <f t="shared" si="1"/>
        <v>0</v>
      </c>
      <c r="I49" s="6"/>
      <c r="J49" s="27"/>
      <c r="K49" s="77"/>
      <c r="L49" s="6"/>
      <c r="M49" s="6"/>
      <c r="N49" s="6"/>
      <c r="O49" s="6"/>
      <c r="P49" s="6"/>
      <c r="Q49" s="6"/>
      <c r="R49" s="6"/>
      <c r="S49" s="6"/>
      <c r="T49" s="6"/>
      <c r="U49" s="6"/>
      <c r="V49" s="6"/>
      <c r="W49" s="6"/>
      <c r="X49" s="6"/>
      <c r="Y49" s="6"/>
      <c r="Z49" s="6"/>
    </row>
    <row r="50" ht="22.5" customHeight="1">
      <c r="A50" s="6"/>
      <c r="B50" s="64" t="s">
        <v>153</v>
      </c>
      <c r="C50" s="65" t="s">
        <v>119</v>
      </c>
      <c r="D50" s="65" t="s">
        <v>175</v>
      </c>
      <c r="E50" s="65"/>
      <c r="F50" s="61">
        <f>IFERROR(VLOOKUP(E50,DATA!$B$45:$C$48,2,FALSE),0)</f>
        <v>0</v>
      </c>
      <c r="G50" s="74">
        <v>0.0</v>
      </c>
      <c r="H50" s="76">
        <f t="shared" si="1"/>
        <v>0</v>
      </c>
      <c r="I50" s="6"/>
      <c r="L50" s="6"/>
      <c r="M50" s="6"/>
      <c r="N50" s="6"/>
      <c r="O50" s="6"/>
      <c r="P50" s="6"/>
      <c r="Q50" s="6"/>
      <c r="R50" s="6"/>
      <c r="S50" s="6"/>
      <c r="T50" s="6"/>
      <c r="U50" s="6"/>
      <c r="V50" s="6"/>
      <c r="W50" s="6"/>
      <c r="X50" s="6"/>
      <c r="Y50" s="6"/>
      <c r="Z50" s="6"/>
    </row>
    <row r="51" ht="22.5" customHeight="1">
      <c r="A51" s="6"/>
      <c r="B51" s="64" t="s">
        <v>153</v>
      </c>
      <c r="C51" s="65" t="s">
        <v>119</v>
      </c>
      <c r="D51" s="65" t="s">
        <v>176</v>
      </c>
      <c r="E51" s="65"/>
      <c r="F51" s="61">
        <f>IFERROR(VLOOKUP(E51,DATA!$B$45:$C$48,2,FALSE),0)</f>
        <v>0</v>
      </c>
      <c r="G51" s="74">
        <v>0.0</v>
      </c>
      <c r="H51" s="76">
        <f t="shared" si="1"/>
        <v>0</v>
      </c>
      <c r="I51" s="6"/>
      <c r="L51" s="6"/>
      <c r="M51" s="6"/>
      <c r="N51" s="6"/>
      <c r="O51" s="6"/>
      <c r="P51" s="6"/>
      <c r="Q51" s="6"/>
      <c r="R51" s="6"/>
      <c r="S51" s="6"/>
      <c r="T51" s="6"/>
      <c r="U51" s="6"/>
      <c r="V51" s="6"/>
      <c r="W51" s="6"/>
      <c r="X51" s="6"/>
      <c r="Y51" s="6"/>
      <c r="Z51" s="6"/>
    </row>
    <row r="52" ht="22.5" customHeight="1">
      <c r="A52" s="6"/>
      <c r="B52" s="64" t="s">
        <v>153</v>
      </c>
      <c r="C52" s="65" t="s">
        <v>157</v>
      </c>
      <c r="D52" s="65" t="s">
        <v>174</v>
      </c>
      <c r="E52" s="65"/>
      <c r="F52" s="61">
        <f>IFERROR(VLOOKUP(E52,DATA!$B$45:$C$48,2,FALSE),0)</f>
        <v>0</v>
      </c>
      <c r="G52" s="74">
        <v>0.0</v>
      </c>
      <c r="H52" s="76">
        <f t="shared" si="1"/>
        <v>0</v>
      </c>
      <c r="I52" s="6"/>
      <c r="J52" s="6"/>
      <c r="K52" s="54"/>
      <c r="L52" s="6"/>
      <c r="M52" s="6"/>
      <c r="N52" s="6"/>
      <c r="O52" s="6"/>
      <c r="P52" s="6"/>
      <c r="Q52" s="6"/>
      <c r="R52" s="6"/>
      <c r="S52" s="6"/>
      <c r="T52" s="6"/>
      <c r="U52" s="6"/>
      <c r="V52" s="6"/>
      <c r="W52" s="6"/>
      <c r="X52" s="6"/>
      <c r="Y52" s="6"/>
      <c r="Z52" s="6"/>
    </row>
    <row r="53" ht="22.5" customHeight="1">
      <c r="A53" s="6"/>
      <c r="B53" s="64" t="s">
        <v>153</v>
      </c>
      <c r="C53" s="65" t="s">
        <v>157</v>
      </c>
      <c r="D53" s="65" t="s">
        <v>175</v>
      </c>
      <c r="E53" s="65"/>
      <c r="F53" s="61">
        <f>IFERROR(VLOOKUP(E53,DATA!$B$45:$C$48,2,FALSE),0)</f>
        <v>0</v>
      </c>
      <c r="G53" s="74">
        <v>0.0</v>
      </c>
      <c r="H53" s="76">
        <f t="shared" si="1"/>
        <v>0</v>
      </c>
      <c r="I53" s="6"/>
      <c r="J53" s="6"/>
      <c r="K53" s="54"/>
      <c r="L53" s="6"/>
      <c r="M53" s="6"/>
      <c r="N53" s="6"/>
      <c r="O53" s="6"/>
      <c r="P53" s="6"/>
      <c r="Q53" s="6"/>
      <c r="R53" s="6"/>
      <c r="S53" s="6"/>
      <c r="T53" s="6"/>
      <c r="U53" s="6"/>
      <c r="V53" s="6"/>
      <c r="W53" s="6"/>
      <c r="X53" s="6"/>
      <c r="Y53" s="6"/>
      <c r="Z53" s="6"/>
    </row>
    <row r="54" ht="22.5" customHeight="1">
      <c r="A54" s="6"/>
      <c r="B54" s="64" t="s">
        <v>153</v>
      </c>
      <c r="C54" s="65" t="s">
        <v>157</v>
      </c>
      <c r="D54" s="65" t="s">
        <v>176</v>
      </c>
      <c r="E54" s="65"/>
      <c r="F54" s="61">
        <f>IFERROR(VLOOKUP(E54,DATA!$B$45:$C$48,2,FALSE),0)</f>
        <v>0</v>
      </c>
      <c r="G54" s="74">
        <v>0.0</v>
      </c>
      <c r="H54" s="76">
        <f t="shared" si="1"/>
        <v>0</v>
      </c>
      <c r="I54" s="6"/>
      <c r="J54" s="6"/>
      <c r="K54" s="54"/>
      <c r="L54" s="6"/>
      <c r="M54" s="6"/>
      <c r="N54" s="6"/>
      <c r="O54" s="6"/>
      <c r="P54" s="6"/>
      <c r="Q54" s="6"/>
      <c r="R54" s="6"/>
      <c r="S54" s="6"/>
      <c r="T54" s="6"/>
      <c r="U54" s="6"/>
      <c r="V54" s="6"/>
      <c r="W54" s="6"/>
      <c r="X54" s="6"/>
      <c r="Y54" s="6"/>
      <c r="Z54" s="6"/>
    </row>
    <row r="55" ht="22.5" customHeight="1">
      <c r="A55" s="6"/>
      <c r="B55" s="64" t="s">
        <v>153</v>
      </c>
      <c r="C55" s="65" t="s">
        <v>154</v>
      </c>
      <c r="D55" s="65" t="s">
        <v>174</v>
      </c>
      <c r="E55" s="65"/>
      <c r="F55" s="61">
        <f>IFERROR(VLOOKUP(E55,DATA!$B$45:$C$48,2,FALSE),0)</f>
        <v>0</v>
      </c>
      <c r="G55" s="74">
        <v>0.0</v>
      </c>
      <c r="H55" s="76">
        <f t="shared" si="1"/>
        <v>0</v>
      </c>
      <c r="I55" s="6"/>
      <c r="J55" s="6"/>
      <c r="K55" s="54"/>
      <c r="L55" s="6"/>
      <c r="M55" s="6"/>
      <c r="N55" s="6"/>
      <c r="O55" s="6"/>
      <c r="P55" s="6"/>
      <c r="Q55" s="6"/>
      <c r="R55" s="6"/>
      <c r="S55" s="6"/>
      <c r="T55" s="6"/>
      <c r="U55" s="6"/>
      <c r="V55" s="6"/>
      <c r="W55" s="6"/>
      <c r="X55" s="6"/>
      <c r="Y55" s="6"/>
      <c r="Z55" s="6"/>
    </row>
    <row r="56" ht="22.5" customHeight="1">
      <c r="A56" s="6"/>
      <c r="B56" s="64" t="s">
        <v>153</v>
      </c>
      <c r="C56" s="65" t="s">
        <v>154</v>
      </c>
      <c r="D56" s="65" t="s">
        <v>175</v>
      </c>
      <c r="E56" s="65"/>
      <c r="F56" s="61">
        <f>IFERROR(VLOOKUP(E56,DATA!$B$45:$C$48,2,FALSE),0)</f>
        <v>0</v>
      </c>
      <c r="G56" s="74">
        <v>0.0</v>
      </c>
      <c r="H56" s="76">
        <f t="shared" si="1"/>
        <v>0</v>
      </c>
      <c r="I56" s="6"/>
      <c r="J56" s="6"/>
      <c r="K56" s="54"/>
      <c r="L56" s="6"/>
      <c r="M56" s="6"/>
      <c r="N56" s="6"/>
      <c r="O56" s="6"/>
      <c r="P56" s="6"/>
      <c r="Q56" s="6"/>
      <c r="R56" s="6"/>
      <c r="S56" s="6"/>
      <c r="T56" s="6"/>
      <c r="U56" s="6"/>
      <c r="V56" s="6"/>
      <c r="W56" s="6"/>
      <c r="X56" s="6"/>
      <c r="Y56" s="6"/>
      <c r="Z56" s="6"/>
    </row>
    <row r="57" ht="22.5" customHeight="1">
      <c r="A57" s="6"/>
      <c r="B57" s="64" t="s">
        <v>153</v>
      </c>
      <c r="C57" s="65" t="s">
        <v>154</v>
      </c>
      <c r="D57" s="65" t="s">
        <v>176</v>
      </c>
      <c r="E57" s="65"/>
      <c r="F57" s="61">
        <f>IFERROR(VLOOKUP(E57,DATA!$B$45:$C$48,2,FALSE),0)</f>
        <v>0</v>
      </c>
      <c r="G57" s="74">
        <v>0.0</v>
      </c>
      <c r="H57" s="76">
        <f t="shared" si="1"/>
        <v>0</v>
      </c>
      <c r="I57" s="6"/>
      <c r="J57" s="6"/>
      <c r="K57" s="54"/>
      <c r="L57" s="6"/>
      <c r="M57" s="6"/>
      <c r="N57" s="6"/>
      <c r="O57" s="6"/>
      <c r="P57" s="6"/>
      <c r="Q57" s="6"/>
      <c r="R57" s="6"/>
      <c r="S57" s="6"/>
      <c r="T57" s="6"/>
      <c r="U57" s="6"/>
      <c r="V57" s="6"/>
      <c r="W57" s="6"/>
      <c r="X57" s="6"/>
      <c r="Y57" s="6"/>
      <c r="Z57" s="6"/>
    </row>
    <row r="58" ht="22.5" customHeight="1">
      <c r="A58" s="6"/>
      <c r="B58" s="64" t="s">
        <v>153</v>
      </c>
      <c r="C58" s="65" t="s">
        <v>154</v>
      </c>
      <c r="D58" s="65" t="s">
        <v>179</v>
      </c>
      <c r="E58" s="65"/>
      <c r="F58" s="61">
        <f>IFERROR(VLOOKUP(E58,DATA!$B$45:$C$48,2,FALSE),0)</f>
        <v>0</v>
      </c>
      <c r="G58" s="74">
        <v>0.0</v>
      </c>
      <c r="H58" s="76">
        <f t="shared" si="1"/>
        <v>0</v>
      </c>
      <c r="I58" s="6"/>
      <c r="J58" s="6"/>
      <c r="K58" s="54"/>
      <c r="L58" s="6"/>
      <c r="M58" s="6"/>
      <c r="N58" s="6"/>
      <c r="O58" s="6"/>
      <c r="P58" s="6"/>
      <c r="Q58" s="6"/>
      <c r="R58" s="6"/>
      <c r="S58" s="6"/>
      <c r="T58" s="6"/>
      <c r="U58" s="6"/>
      <c r="V58" s="6"/>
      <c r="W58" s="6"/>
      <c r="X58" s="6"/>
      <c r="Y58" s="6"/>
      <c r="Z58" s="6"/>
    </row>
    <row r="59" ht="22.5" customHeight="1">
      <c r="A59" s="6"/>
      <c r="B59" s="64" t="s">
        <v>153</v>
      </c>
      <c r="C59" s="65" t="s">
        <v>154</v>
      </c>
      <c r="D59" s="65" t="s">
        <v>179</v>
      </c>
      <c r="E59" s="65"/>
      <c r="F59" s="61">
        <f>IFERROR(VLOOKUP(E59,DATA!$B$45:$C$48,2,FALSE),0)</f>
        <v>0</v>
      </c>
      <c r="G59" s="74">
        <v>0.0</v>
      </c>
      <c r="H59" s="76">
        <f t="shared" si="1"/>
        <v>0</v>
      </c>
      <c r="I59" s="6"/>
      <c r="J59" s="6"/>
      <c r="K59" s="54"/>
      <c r="L59" s="6"/>
      <c r="M59" s="6"/>
      <c r="N59" s="6"/>
      <c r="O59" s="6"/>
      <c r="P59" s="6"/>
      <c r="Q59" s="6"/>
      <c r="R59" s="6"/>
      <c r="S59" s="6"/>
      <c r="T59" s="6"/>
      <c r="U59" s="6"/>
      <c r="V59" s="6"/>
      <c r="W59" s="6"/>
      <c r="X59" s="6"/>
      <c r="Y59" s="6"/>
      <c r="Z59" s="6"/>
    </row>
    <row r="60" ht="22.5" customHeight="1">
      <c r="A60" s="6"/>
      <c r="B60" s="64" t="s">
        <v>153</v>
      </c>
      <c r="C60" s="65" t="s">
        <v>154</v>
      </c>
      <c r="D60" s="65" t="s">
        <v>180</v>
      </c>
      <c r="E60" s="65"/>
      <c r="F60" s="61">
        <f>IFERROR(VLOOKUP(E60,DATA!$B$45:$C$48,2,FALSE),0)</f>
        <v>0</v>
      </c>
      <c r="G60" s="74">
        <v>0.0</v>
      </c>
      <c r="H60" s="76">
        <f t="shared" si="1"/>
        <v>0</v>
      </c>
      <c r="I60" s="6"/>
      <c r="J60" s="6"/>
      <c r="K60" s="54"/>
      <c r="L60" s="6"/>
      <c r="M60" s="6"/>
      <c r="N60" s="6"/>
      <c r="O60" s="6"/>
      <c r="P60" s="6"/>
      <c r="Q60" s="6"/>
      <c r="R60" s="6"/>
      <c r="S60" s="6"/>
      <c r="T60" s="6"/>
      <c r="U60" s="6"/>
      <c r="V60" s="6"/>
      <c r="W60" s="6"/>
      <c r="X60" s="6"/>
      <c r="Y60" s="6"/>
      <c r="Z60" s="6"/>
    </row>
    <row r="61" ht="22.5" customHeight="1">
      <c r="A61" s="6"/>
      <c r="B61" s="64" t="s">
        <v>153</v>
      </c>
      <c r="C61" s="65" t="s">
        <v>154</v>
      </c>
      <c r="D61" s="65" t="s">
        <v>180</v>
      </c>
      <c r="E61" s="65"/>
      <c r="F61" s="61">
        <f>IFERROR(VLOOKUP(E61,DATA!$B$45:$C$48,2,FALSE),0)</f>
        <v>0</v>
      </c>
      <c r="G61" s="74">
        <v>0.0</v>
      </c>
      <c r="H61" s="76">
        <f t="shared" si="1"/>
        <v>0</v>
      </c>
      <c r="I61" s="6"/>
      <c r="J61" s="6"/>
      <c r="K61" s="54"/>
      <c r="L61" s="6"/>
      <c r="M61" s="6"/>
      <c r="N61" s="6"/>
      <c r="O61" s="6"/>
      <c r="P61" s="6"/>
      <c r="Q61" s="6"/>
      <c r="R61" s="6"/>
      <c r="S61" s="6"/>
      <c r="T61" s="6"/>
      <c r="U61" s="6"/>
      <c r="V61" s="6"/>
      <c r="W61" s="6"/>
      <c r="X61" s="6"/>
      <c r="Y61" s="6"/>
      <c r="Z61" s="6"/>
    </row>
    <row r="62" ht="22.5" customHeight="1">
      <c r="A62" s="6"/>
      <c r="B62" s="64" t="s">
        <v>153</v>
      </c>
      <c r="C62" s="65" t="s">
        <v>154</v>
      </c>
      <c r="D62" s="65" t="s">
        <v>181</v>
      </c>
      <c r="E62" s="65"/>
      <c r="F62" s="61">
        <f>IFERROR(VLOOKUP(E62,DATA!$B$45:$C$48,2,FALSE),0)</f>
        <v>0</v>
      </c>
      <c r="G62" s="74">
        <v>0.0</v>
      </c>
      <c r="H62" s="76">
        <f t="shared" si="1"/>
        <v>0</v>
      </c>
      <c r="I62" s="6"/>
      <c r="J62" s="6"/>
      <c r="K62" s="54"/>
      <c r="L62" s="6"/>
      <c r="M62" s="6"/>
      <c r="N62" s="6"/>
      <c r="O62" s="6"/>
      <c r="P62" s="6"/>
      <c r="Q62" s="6"/>
      <c r="R62" s="6"/>
      <c r="S62" s="6"/>
      <c r="T62" s="6"/>
      <c r="U62" s="6"/>
      <c r="V62" s="6"/>
      <c r="W62" s="6"/>
      <c r="X62" s="6"/>
      <c r="Y62" s="6"/>
      <c r="Z62" s="6"/>
    </row>
    <row r="63" ht="22.5" customHeight="1">
      <c r="A63" s="6"/>
      <c r="B63" s="64" t="s">
        <v>153</v>
      </c>
      <c r="C63" s="65" t="s">
        <v>154</v>
      </c>
      <c r="D63" s="65" t="s">
        <v>181</v>
      </c>
      <c r="E63" s="65"/>
      <c r="F63" s="61">
        <f>IFERROR(VLOOKUP(E63,DATA!$B$45:$C$48,2,FALSE),0)</f>
        <v>0</v>
      </c>
      <c r="G63" s="74">
        <v>0.0</v>
      </c>
      <c r="H63" s="76">
        <f t="shared" si="1"/>
        <v>0</v>
      </c>
      <c r="I63" s="6"/>
      <c r="J63" s="6"/>
      <c r="K63" s="54"/>
      <c r="L63" s="6"/>
      <c r="M63" s="6"/>
      <c r="N63" s="6"/>
      <c r="O63" s="6"/>
      <c r="P63" s="6"/>
      <c r="Q63" s="6"/>
      <c r="R63" s="6"/>
      <c r="S63" s="6"/>
      <c r="T63" s="6"/>
      <c r="U63" s="6"/>
      <c r="V63" s="6"/>
      <c r="W63" s="6"/>
      <c r="X63" s="6"/>
      <c r="Y63" s="6"/>
      <c r="Z63" s="6"/>
    </row>
    <row r="64" ht="22.5" customHeight="1">
      <c r="A64" s="6"/>
      <c r="B64" s="64" t="s">
        <v>153</v>
      </c>
      <c r="C64" s="65" t="s">
        <v>154</v>
      </c>
      <c r="D64" s="65" t="s">
        <v>182</v>
      </c>
      <c r="E64" s="65"/>
      <c r="F64" s="61">
        <f>IFERROR(VLOOKUP(E64,DATA!$B$45:$C$48,2,FALSE),0)</f>
        <v>0</v>
      </c>
      <c r="G64" s="74">
        <v>0.0</v>
      </c>
      <c r="H64" s="76">
        <f t="shared" si="1"/>
        <v>0</v>
      </c>
      <c r="I64" s="6"/>
      <c r="J64" s="6"/>
      <c r="K64" s="54"/>
      <c r="L64" s="6"/>
      <c r="M64" s="6"/>
      <c r="N64" s="6"/>
      <c r="O64" s="6"/>
      <c r="P64" s="6"/>
      <c r="Q64" s="6"/>
      <c r="R64" s="6"/>
      <c r="S64" s="6"/>
      <c r="T64" s="6"/>
      <c r="U64" s="6"/>
      <c r="V64" s="6"/>
      <c r="W64" s="6"/>
      <c r="X64" s="6"/>
      <c r="Y64" s="6"/>
      <c r="Z64" s="6"/>
    </row>
    <row r="65" ht="22.5" customHeight="1">
      <c r="A65" s="6"/>
      <c r="B65" s="64" t="s">
        <v>153</v>
      </c>
      <c r="C65" s="65" t="s">
        <v>154</v>
      </c>
      <c r="D65" s="65" t="s">
        <v>182</v>
      </c>
      <c r="E65" s="65"/>
      <c r="F65" s="61">
        <f>IFERROR(VLOOKUP(E65,DATA!$B$45:$C$48,2,FALSE),0)</f>
        <v>0</v>
      </c>
      <c r="G65" s="74">
        <v>0.0</v>
      </c>
      <c r="H65" s="76">
        <f t="shared" si="1"/>
        <v>0</v>
      </c>
      <c r="I65" s="6"/>
      <c r="J65" s="6"/>
      <c r="K65" s="54"/>
      <c r="L65" s="6"/>
      <c r="M65" s="6"/>
      <c r="N65" s="6"/>
      <c r="O65" s="6"/>
      <c r="P65" s="6"/>
      <c r="Q65" s="6"/>
      <c r="R65" s="6"/>
      <c r="S65" s="6"/>
      <c r="T65" s="6"/>
      <c r="U65" s="6"/>
      <c r="V65" s="6"/>
      <c r="W65" s="6"/>
      <c r="X65" s="6"/>
      <c r="Y65" s="6"/>
      <c r="Z65" s="6"/>
    </row>
    <row r="66" ht="22.5" customHeight="1">
      <c r="A66" s="6"/>
      <c r="B66" s="64" t="s">
        <v>159</v>
      </c>
      <c r="C66" s="65" t="s">
        <v>160</v>
      </c>
      <c r="D66" s="65" t="s">
        <v>174</v>
      </c>
      <c r="E66" s="65"/>
      <c r="F66" s="61">
        <f>IFERROR(VLOOKUP(E66,DATA!$B$45:$C$48,2,FALSE),0)</f>
        <v>0</v>
      </c>
      <c r="G66" s="74">
        <v>0.0</v>
      </c>
      <c r="H66" s="76">
        <f t="shared" si="1"/>
        <v>0</v>
      </c>
      <c r="I66" s="6"/>
      <c r="J66" s="6"/>
      <c r="K66" s="54"/>
      <c r="L66" s="6"/>
      <c r="M66" s="6"/>
      <c r="N66" s="6"/>
      <c r="O66" s="6"/>
      <c r="P66" s="6"/>
      <c r="Q66" s="6"/>
      <c r="R66" s="6"/>
      <c r="S66" s="6"/>
      <c r="T66" s="6"/>
      <c r="U66" s="6"/>
      <c r="V66" s="6"/>
      <c r="W66" s="6"/>
      <c r="X66" s="6"/>
      <c r="Y66" s="6"/>
      <c r="Z66" s="6"/>
    </row>
    <row r="67" ht="22.5" customHeight="1">
      <c r="A67" s="6"/>
      <c r="B67" s="64" t="s">
        <v>159</v>
      </c>
      <c r="C67" s="65" t="s">
        <v>160</v>
      </c>
      <c r="D67" s="65" t="s">
        <v>175</v>
      </c>
      <c r="E67" s="65"/>
      <c r="F67" s="61">
        <f>IFERROR(VLOOKUP(E67,DATA!$B$45:$C$48,2,FALSE),0)</f>
        <v>0</v>
      </c>
      <c r="G67" s="74">
        <v>0.0</v>
      </c>
      <c r="H67" s="76">
        <f t="shared" si="1"/>
        <v>0</v>
      </c>
      <c r="I67" s="6"/>
      <c r="J67" s="6"/>
      <c r="K67" s="54"/>
      <c r="L67" s="6"/>
      <c r="M67" s="6"/>
      <c r="N67" s="6"/>
      <c r="O67" s="6"/>
      <c r="P67" s="6"/>
      <c r="Q67" s="6"/>
      <c r="R67" s="6"/>
      <c r="S67" s="6"/>
      <c r="T67" s="6"/>
      <c r="U67" s="6"/>
      <c r="V67" s="6"/>
      <c r="W67" s="6"/>
      <c r="X67" s="6"/>
      <c r="Y67" s="6"/>
      <c r="Z67" s="6"/>
    </row>
    <row r="68" ht="22.5" customHeight="1">
      <c r="A68" s="6"/>
      <c r="B68" s="64" t="s">
        <v>159</v>
      </c>
      <c r="C68" s="65" t="s">
        <v>160</v>
      </c>
      <c r="D68" s="65" t="s">
        <v>176</v>
      </c>
      <c r="E68" s="65"/>
      <c r="F68" s="61">
        <f>IFERROR(VLOOKUP(E68,DATA!$B$45:$C$48,2,FALSE),0)</f>
        <v>0</v>
      </c>
      <c r="G68" s="74">
        <v>0.0</v>
      </c>
      <c r="H68" s="76">
        <f t="shared" si="1"/>
        <v>0</v>
      </c>
      <c r="I68" s="6"/>
      <c r="J68" s="6"/>
      <c r="K68" s="54"/>
      <c r="L68" s="6"/>
      <c r="M68" s="6"/>
      <c r="N68" s="6"/>
      <c r="O68" s="6"/>
      <c r="P68" s="6"/>
      <c r="Q68" s="6"/>
      <c r="R68" s="6"/>
      <c r="S68" s="6"/>
      <c r="T68" s="6"/>
      <c r="U68" s="6"/>
      <c r="V68" s="6"/>
      <c r="W68" s="6"/>
      <c r="X68" s="6"/>
      <c r="Y68" s="6"/>
      <c r="Z68" s="6"/>
    </row>
    <row r="69" ht="22.5" customHeight="1">
      <c r="A69" s="6"/>
      <c r="B69" s="64" t="s">
        <v>159</v>
      </c>
      <c r="C69" s="65" t="s">
        <v>160</v>
      </c>
      <c r="D69" s="65" t="s">
        <v>183</v>
      </c>
      <c r="E69" s="65"/>
      <c r="F69" s="61">
        <f>IFERROR(VLOOKUP(E69,DATA!$B$45:$C$48,2,FALSE),0)</f>
        <v>0</v>
      </c>
      <c r="G69" s="74">
        <v>0.0</v>
      </c>
      <c r="H69" s="76">
        <f t="shared" si="1"/>
        <v>0</v>
      </c>
      <c r="I69" s="6"/>
      <c r="J69" s="6"/>
      <c r="K69" s="54"/>
      <c r="L69" s="6"/>
      <c r="M69" s="6"/>
      <c r="N69" s="6"/>
      <c r="O69" s="6"/>
      <c r="P69" s="6"/>
      <c r="Q69" s="6"/>
      <c r="R69" s="6"/>
      <c r="S69" s="6"/>
      <c r="T69" s="6"/>
      <c r="U69" s="6"/>
      <c r="V69" s="6"/>
      <c r="W69" s="6"/>
      <c r="X69" s="6"/>
      <c r="Y69" s="6"/>
      <c r="Z69" s="6"/>
    </row>
    <row r="70" ht="22.5" customHeight="1">
      <c r="A70" s="6"/>
      <c r="B70" s="64" t="s">
        <v>159</v>
      </c>
      <c r="C70" s="65" t="s">
        <v>160</v>
      </c>
      <c r="D70" s="65" t="s">
        <v>183</v>
      </c>
      <c r="E70" s="65"/>
      <c r="F70" s="61">
        <f>IFERROR(VLOOKUP(E70,DATA!$B$45:$C$48,2,FALSE),0)</f>
        <v>0</v>
      </c>
      <c r="G70" s="74">
        <v>0.0</v>
      </c>
      <c r="H70" s="76">
        <f t="shared" si="1"/>
        <v>0</v>
      </c>
      <c r="I70" s="6"/>
      <c r="J70" s="6"/>
      <c r="K70" s="54"/>
      <c r="L70" s="6"/>
      <c r="M70" s="6"/>
      <c r="N70" s="6"/>
      <c r="O70" s="6"/>
      <c r="P70" s="6"/>
      <c r="Q70" s="6"/>
      <c r="R70" s="6"/>
      <c r="S70" s="6"/>
      <c r="T70" s="6"/>
      <c r="U70" s="6"/>
      <c r="V70" s="6"/>
      <c r="W70" s="6"/>
      <c r="X70" s="6"/>
      <c r="Y70" s="6"/>
      <c r="Z70" s="6"/>
    </row>
    <row r="71" ht="22.5" customHeight="1">
      <c r="A71" s="6"/>
      <c r="B71" s="64" t="s">
        <v>159</v>
      </c>
      <c r="C71" s="65" t="s">
        <v>160</v>
      </c>
      <c r="D71" s="65" t="s">
        <v>184</v>
      </c>
      <c r="E71" s="65"/>
      <c r="F71" s="61">
        <f>IFERROR(VLOOKUP(E71,DATA!$B$45:$C$48,2,FALSE),0)</f>
        <v>0</v>
      </c>
      <c r="G71" s="74">
        <v>0.0</v>
      </c>
      <c r="H71" s="76">
        <f t="shared" si="1"/>
        <v>0</v>
      </c>
      <c r="I71" s="6"/>
      <c r="J71" s="6"/>
      <c r="K71" s="54"/>
      <c r="L71" s="6"/>
      <c r="M71" s="6"/>
      <c r="N71" s="6"/>
      <c r="O71" s="6"/>
      <c r="P71" s="6"/>
      <c r="Q71" s="6"/>
      <c r="R71" s="6"/>
      <c r="S71" s="6"/>
      <c r="T71" s="6"/>
      <c r="U71" s="6"/>
      <c r="V71" s="6"/>
      <c r="W71" s="6"/>
      <c r="X71" s="6"/>
      <c r="Y71" s="6"/>
      <c r="Z71" s="6"/>
    </row>
    <row r="72" ht="22.5" customHeight="1">
      <c r="A72" s="6"/>
      <c r="B72" s="64" t="s">
        <v>159</v>
      </c>
      <c r="C72" s="65" t="s">
        <v>160</v>
      </c>
      <c r="D72" s="65" t="s">
        <v>184</v>
      </c>
      <c r="E72" s="65"/>
      <c r="F72" s="61">
        <f>IFERROR(VLOOKUP(E72,DATA!$B$45:$C$48,2,FALSE),0)</f>
        <v>0</v>
      </c>
      <c r="G72" s="74">
        <v>0.0</v>
      </c>
      <c r="H72" s="76">
        <f t="shared" si="1"/>
        <v>0</v>
      </c>
      <c r="I72" s="6"/>
      <c r="J72" s="6"/>
      <c r="K72" s="54"/>
      <c r="L72" s="6"/>
      <c r="M72" s="6"/>
      <c r="N72" s="6"/>
      <c r="O72" s="6"/>
      <c r="P72" s="6"/>
      <c r="Q72" s="6"/>
      <c r="R72" s="6"/>
      <c r="S72" s="6"/>
      <c r="T72" s="6"/>
      <c r="U72" s="6"/>
      <c r="V72" s="6"/>
      <c r="W72" s="6"/>
      <c r="X72" s="6"/>
      <c r="Y72" s="6"/>
      <c r="Z72" s="6"/>
    </row>
    <row r="73" ht="22.5" customHeight="1">
      <c r="A73" s="6"/>
      <c r="B73" s="64" t="s">
        <v>159</v>
      </c>
      <c r="C73" s="65" t="s">
        <v>163</v>
      </c>
      <c r="D73" s="65" t="s">
        <v>174</v>
      </c>
      <c r="E73" s="65"/>
      <c r="F73" s="61">
        <f>IFERROR(VLOOKUP(E73,DATA!$B$45:$C$48,2,FALSE),0)</f>
        <v>0</v>
      </c>
      <c r="G73" s="74">
        <v>0.0</v>
      </c>
      <c r="H73" s="76">
        <f t="shared" si="1"/>
        <v>0</v>
      </c>
      <c r="I73" s="6"/>
      <c r="J73" s="6"/>
      <c r="K73" s="54"/>
      <c r="L73" s="6"/>
      <c r="M73" s="6"/>
      <c r="N73" s="6"/>
      <c r="O73" s="6"/>
      <c r="P73" s="6"/>
      <c r="Q73" s="6"/>
      <c r="R73" s="6"/>
      <c r="S73" s="6"/>
      <c r="T73" s="6"/>
      <c r="U73" s="6"/>
      <c r="V73" s="6"/>
      <c r="W73" s="6"/>
      <c r="X73" s="6"/>
      <c r="Y73" s="6"/>
      <c r="Z73" s="6"/>
    </row>
    <row r="74" ht="22.5" customHeight="1">
      <c r="A74" s="6"/>
      <c r="B74" s="64" t="s">
        <v>159</v>
      </c>
      <c r="C74" s="65" t="s">
        <v>163</v>
      </c>
      <c r="D74" s="65" t="s">
        <v>175</v>
      </c>
      <c r="E74" s="65"/>
      <c r="F74" s="61">
        <f>IFERROR(VLOOKUP(E74,DATA!$B$45:$C$48,2,FALSE),0)</f>
        <v>0</v>
      </c>
      <c r="G74" s="74">
        <v>0.0</v>
      </c>
      <c r="H74" s="76">
        <f t="shared" si="1"/>
        <v>0</v>
      </c>
      <c r="I74" s="6"/>
      <c r="J74" s="6"/>
      <c r="K74" s="54"/>
      <c r="L74" s="6"/>
      <c r="M74" s="6"/>
      <c r="N74" s="6"/>
      <c r="O74" s="6"/>
      <c r="P74" s="6"/>
      <c r="Q74" s="6"/>
      <c r="R74" s="6"/>
      <c r="S74" s="6"/>
      <c r="T74" s="6"/>
      <c r="U74" s="6"/>
      <c r="V74" s="6"/>
      <c r="W74" s="6"/>
      <c r="X74" s="6"/>
      <c r="Y74" s="6"/>
      <c r="Z74" s="6"/>
    </row>
    <row r="75" ht="22.5" customHeight="1">
      <c r="A75" s="6"/>
      <c r="B75" s="64" t="s">
        <v>159</v>
      </c>
      <c r="C75" s="65" t="s">
        <v>163</v>
      </c>
      <c r="D75" s="65" t="s">
        <v>176</v>
      </c>
      <c r="E75" s="65"/>
      <c r="F75" s="61">
        <f>IFERROR(VLOOKUP(E75,DATA!$B$45:$C$48,2,FALSE),0)</f>
        <v>0</v>
      </c>
      <c r="G75" s="74">
        <v>0.0</v>
      </c>
      <c r="H75" s="76">
        <f t="shared" si="1"/>
        <v>0</v>
      </c>
      <c r="I75" s="6"/>
      <c r="J75" s="6"/>
      <c r="K75" s="54"/>
      <c r="L75" s="6"/>
      <c r="M75" s="6"/>
      <c r="N75" s="6"/>
      <c r="O75" s="6"/>
      <c r="P75" s="6"/>
      <c r="Q75" s="6"/>
      <c r="R75" s="6"/>
      <c r="S75" s="6"/>
      <c r="T75" s="6"/>
      <c r="U75" s="6"/>
      <c r="V75" s="6"/>
      <c r="W75" s="6"/>
      <c r="X75" s="6"/>
      <c r="Y75" s="6"/>
      <c r="Z75" s="6"/>
    </row>
    <row r="76" ht="22.5" customHeight="1">
      <c r="A76" s="6"/>
      <c r="B76" s="64" t="s">
        <v>165</v>
      </c>
      <c r="C76" s="65" t="s">
        <v>166</v>
      </c>
      <c r="D76" s="65" t="s">
        <v>174</v>
      </c>
      <c r="E76" s="65"/>
      <c r="F76" s="61">
        <f>IFERROR(VLOOKUP(E76,DATA!$B$45:$C$48,2,FALSE),0)</f>
        <v>0</v>
      </c>
      <c r="G76" s="74">
        <v>0.0</v>
      </c>
      <c r="H76" s="76">
        <f t="shared" si="1"/>
        <v>0</v>
      </c>
      <c r="I76" s="6"/>
      <c r="J76" s="6"/>
      <c r="K76" s="54"/>
      <c r="L76" s="6"/>
      <c r="M76" s="6"/>
      <c r="N76" s="6"/>
      <c r="O76" s="6"/>
      <c r="P76" s="6"/>
      <c r="Q76" s="6"/>
      <c r="R76" s="6"/>
      <c r="S76" s="6"/>
      <c r="T76" s="6"/>
      <c r="U76" s="6"/>
      <c r="V76" s="6"/>
      <c r="W76" s="6"/>
      <c r="X76" s="6"/>
      <c r="Y76" s="6"/>
      <c r="Z76" s="6"/>
    </row>
    <row r="77" ht="22.5" customHeight="1">
      <c r="A77" s="6"/>
      <c r="B77" s="64" t="s">
        <v>165</v>
      </c>
      <c r="C77" s="65" t="s">
        <v>166</v>
      </c>
      <c r="D77" s="65" t="s">
        <v>175</v>
      </c>
      <c r="E77" s="65"/>
      <c r="F77" s="61">
        <f>IFERROR(VLOOKUP(E77,DATA!$B$45:$C$48,2,FALSE),0)</f>
        <v>0</v>
      </c>
      <c r="G77" s="74">
        <v>0.0</v>
      </c>
      <c r="H77" s="76">
        <f t="shared" si="1"/>
        <v>0</v>
      </c>
      <c r="I77" s="6"/>
      <c r="J77" s="6"/>
      <c r="K77" s="54"/>
      <c r="L77" s="6"/>
      <c r="M77" s="6"/>
      <c r="N77" s="6"/>
      <c r="O77" s="6"/>
      <c r="P77" s="6"/>
      <c r="Q77" s="6"/>
      <c r="R77" s="6"/>
      <c r="S77" s="6"/>
      <c r="T77" s="6"/>
      <c r="U77" s="6"/>
      <c r="V77" s="6"/>
      <c r="W77" s="6"/>
      <c r="X77" s="6"/>
      <c r="Y77" s="6"/>
      <c r="Z77" s="6"/>
    </row>
    <row r="78" ht="22.5" customHeight="1">
      <c r="A78" s="6"/>
      <c r="B78" s="64" t="s">
        <v>165</v>
      </c>
      <c r="C78" s="65" t="s">
        <v>166</v>
      </c>
      <c r="D78" s="65" t="s">
        <v>176</v>
      </c>
      <c r="E78" s="65"/>
      <c r="F78" s="61">
        <f>IFERROR(VLOOKUP(E78,DATA!$B$45:$C$48,2,FALSE),0)</f>
        <v>0</v>
      </c>
      <c r="G78" s="74">
        <v>0.0</v>
      </c>
      <c r="H78" s="76">
        <f t="shared" si="1"/>
        <v>0</v>
      </c>
      <c r="I78" s="6"/>
      <c r="J78" s="6"/>
      <c r="K78" s="54"/>
      <c r="L78" s="6"/>
      <c r="M78" s="6"/>
      <c r="N78" s="6"/>
      <c r="O78" s="6"/>
      <c r="P78" s="6"/>
      <c r="Q78" s="6"/>
      <c r="R78" s="6"/>
      <c r="S78" s="6"/>
      <c r="T78" s="6"/>
      <c r="U78" s="6"/>
      <c r="V78" s="6"/>
      <c r="W78" s="6"/>
      <c r="X78" s="6"/>
      <c r="Y78" s="6"/>
      <c r="Z78" s="6"/>
    </row>
    <row r="79" ht="22.5" customHeight="1">
      <c r="A79" s="6"/>
      <c r="B79" s="64" t="s">
        <v>165</v>
      </c>
      <c r="C79" s="65" t="s">
        <v>166</v>
      </c>
      <c r="D79" s="65" t="s">
        <v>185</v>
      </c>
      <c r="E79" s="65"/>
      <c r="F79" s="61">
        <f>IFERROR(VLOOKUP(E79,DATA!$B$45:$C$48,2,FALSE),0)</f>
        <v>0</v>
      </c>
      <c r="G79" s="74">
        <v>0.0</v>
      </c>
      <c r="H79" s="76">
        <f t="shared" si="1"/>
        <v>0</v>
      </c>
      <c r="I79" s="6"/>
      <c r="J79" s="6"/>
      <c r="K79" s="54"/>
      <c r="L79" s="6"/>
      <c r="M79" s="6"/>
      <c r="N79" s="6"/>
      <c r="O79" s="6"/>
      <c r="P79" s="6"/>
      <c r="Q79" s="6"/>
      <c r="R79" s="6"/>
      <c r="S79" s="6"/>
      <c r="T79" s="6"/>
      <c r="U79" s="6"/>
      <c r="V79" s="6"/>
      <c r="W79" s="6"/>
      <c r="X79" s="6"/>
      <c r="Y79" s="6"/>
      <c r="Z79" s="6"/>
    </row>
    <row r="80" ht="22.5" customHeight="1">
      <c r="A80" s="6"/>
      <c r="B80" s="64" t="s">
        <v>165</v>
      </c>
      <c r="C80" s="65" t="s">
        <v>166</v>
      </c>
      <c r="D80" s="65" t="s">
        <v>185</v>
      </c>
      <c r="E80" s="65"/>
      <c r="F80" s="61">
        <f>IFERROR(VLOOKUP(E80,DATA!$B$45:$C$48,2,FALSE),0)</f>
        <v>0</v>
      </c>
      <c r="G80" s="74">
        <v>0.0</v>
      </c>
      <c r="H80" s="76">
        <f t="shared" si="1"/>
        <v>0</v>
      </c>
      <c r="I80" s="6"/>
      <c r="J80" s="6"/>
      <c r="K80" s="54"/>
      <c r="L80" s="6"/>
      <c r="M80" s="6"/>
      <c r="N80" s="6"/>
      <c r="O80" s="6"/>
      <c r="P80" s="6"/>
      <c r="Q80" s="6"/>
      <c r="R80" s="6"/>
      <c r="S80" s="6"/>
      <c r="T80" s="6"/>
      <c r="U80" s="6"/>
      <c r="V80" s="6"/>
      <c r="W80" s="6"/>
      <c r="X80" s="6"/>
      <c r="Y80" s="6"/>
      <c r="Z80" s="6"/>
    </row>
    <row r="81" ht="22.5" customHeight="1">
      <c r="A81" s="6"/>
      <c r="B81" s="6"/>
      <c r="C81" s="53"/>
      <c r="D81" s="53"/>
      <c r="E81" s="53"/>
      <c r="F81" s="53"/>
      <c r="H81" s="78">
        <f>SUM(H31:H80)</f>
        <v>0</v>
      </c>
      <c r="I81" s="79" t="s">
        <v>186</v>
      </c>
      <c r="J81" s="6"/>
      <c r="K81" s="54"/>
      <c r="L81" s="6"/>
      <c r="M81" s="6"/>
      <c r="N81" s="6"/>
      <c r="O81" s="6"/>
      <c r="P81" s="6"/>
      <c r="Q81" s="6"/>
      <c r="R81" s="6"/>
      <c r="S81" s="6"/>
      <c r="T81" s="6"/>
      <c r="U81" s="6"/>
      <c r="V81" s="6"/>
      <c r="W81" s="6"/>
      <c r="X81" s="6"/>
      <c r="Y81" s="6"/>
      <c r="Z81" s="6"/>
    </row>
    <row r="82" ht="22.5" customHeight="1">
      <c r="A82" s="6"/>
      <c r="B82" s="6"/>
      <c r="C82" s="53"/>
      <c r="D82" s="53"/>
      <c r="E82" s="53"/>
      <c r="F82" s="53"/>
      <c r="G82" s="53"/>
      <c r="I82" s="6"/>
      <c r="J82" s="6"/>
      <c r="K82" s="54"/>
      <c r="L82" s="6"/>
      <c r="M82" s="6"/>
      <c r="N82" s="6"/>
      <c r="O82" s="6"/>
      <c r="P82" s="6"/>
      <c r="Q82" s="6"/>
      <c r="R82" s="6"/>
      <c r="S82" s="6"/>
      <c r="T82" s="6"/>
      <c r="U82" s="6"/>
      <c r="V82" s="6"/>
      <c r="W82" s="6"/>
      <c r="X82" s="6"/>
      <c r="Y82" s="6"/>
      <c r="Z82" s="6"/>
    </row>
    <row r="83" ht="22.5" customHeight="1">
      <c r="A83" s="6"/>
      <c r="B83" s="6"/>
      <c r="C83" s="53"/>
      <c r="D83" s="53"/>
      <c r="E83" s="53"/>
      <c r="F83" s="53"/>
      <c r="G83" s="53"/>
      <c r="I83" s="6"/>
      <c r="J83" s="6"/>
      <c r="K83" s="54"/>
      <c r="L83" s="6"/>
      <c r="M83" s="6"/>
      <c r="N83" s="6"/>
      <c r="O83" s="6"/>
      <c r="P83" s="6"/>
      <c r="Q83" s="6"/>
      <c r="R83" s="6"/>
      <c r="S83" s="6"/>
      <c r="T83" s="6"/>
      <c r="U83" s="6"/>
      <c r="V83" s="6"/>
      <c r="W83" s="6"/>
      <c r="X83" s="6"/>
      <c r="Y83" s="6"/>
      <c r="Z83" s="6"/>
    </row>
    <row r="84" ht="22.5" customHeight="1">
      <c r="A84" s="6"/>
      <c r="B84" s="6"/>
      <c r="C84" s="53"/>
      <c r="D84" s="53"/>
      <c r="E84" s="53"/>
      <c r="F84" s="53"/>
      <c r="G84" s="53"/>
      <c r="I84" s="6"/>
      <c r="J84" s="6"/>
      <c r="K84" s="54"/>
      <c r="L84" s="6"/>
      <c r="M84" s="6"/>
      <c r="N84" s="6"/>
      <c r="O84" s="6"/>
      <c r="P84" s="6"/>
      <c r="Q84" s="6"/>
      <c r="R84" s="6"/>
      <c r="S84" s="6"/>
      <c r="T84" s="6"/>
      <c r="U84" s="6"/>
      <c r="V84" s="6"/>
      <c r="W84" s="6"/>
      <c r="X84" s="6"/>
      <c r="Y84" s="6"/>
      <c r="Z84" s="6"/>
    </row>
    <row r="85" ht="22.5" customHeight="1">
      <c r="A85" s="6"/>
      <c r="B85" s="6"/>
      <c r="C85" s="53"/>
      <c r="D85" s="53"/>
      <c r="E85" s="53"/>
      <c r="F85" s="53"/>
      <c r="G85" s="53"/>
      <c r="I85" s="6"/>
      <c r="J85" s="6"/>
      <c r="K85" s="54"/>
      <c r="L85" s="6"/>
      <c r="M85" s="6"/>
      <c r="N85" s="6"/>
      <c r="O85" s="6"/>
      <c r="P85" s="6"/>
      <c r="Q85" s="6"/>
      <c r="R85" s="6"/>
      <c r="S85" s="6"/>
      <c r="T85" s="6"/>
      <c r="U85" s="6"/>
      <c r="V85" s="6"/>
      <c r="W85" s="6"/>
      <c r="X85" s="6"/>
      <c r="Y85" s="6"/>
      <c r="Z85" s="6"/>
    </row>
    <row r="86" ht="22.5" customHeight="1">
      <c r="A86" s="6"/>
      <c r="B86" s="6"/>
      <c r="C86" s="53"/>
      <c r="D86" s="53"/>
      <c r="E86" s="53"/>
      <c r="F86" s="53"/>
      <c r="G86" s="53"/>
      <c r="I86" s="6"/>
      <c r="J86" s="6"/>
      <c r="K86" s="54"/>
      <c r="L86" s="6"/>
      <c r="M86" s="6"/>
      <c r="N86" s="6"/>
      <c r="O86" s="6"/>
      <c r="P86" s="6"/>
      <c r="Q86" s="6"/>
      <c r="R86" s="6"/>
      <c r="S86" s="6"/>
      <c r="T86" s="6"/>
      <c r="U86" s="6"/>
      <c r="V86" s="6"/>
      <c r="W86" s="6"/>
      <c r="X86" s="6"/>
      <c r="Y86" s="6"/>
      <c r="Z86" s="6"/>
    </row>
    <row r="87" ht="22.5" customHeight="1">
      <c r="A87" s="6"/>
      <c r="B87" s="6"/>
      <c r="E87" s="53"/>
      <c r="F87" s="53"/>
      <c r="G87" s="53"/>
      <c r="H87" s="53"/>
      <c r="I87" s="6"/>
      <c r="J87" s="6"/>
      <c r="K87" s="54"/>
      <c r="L87" s="6"/>
      <c r="M87" s="6"/>
      <c r="N87" s="6"/>
      <c r="O87" s="6"/>
      <c r="P87" s="6"/>
      <c r="Q87" s="6"/>
      <c r="R87" s="6"/>
      <c r="S87" s="6"/>
      <c r="T87" s="6"/>
      <c r="U87" s="6"/>
      <c r="V87" s="6"/>
      <c r="W87" s="6"/>
      <c r="X87" s="6"/>
      <c r="Y87" s="6"/>
      <c r="Z87" s="6"/>
    </row>
    <row r="88" ht="22.5" customHeight="1">
      <c r="A88" s="6"/>
      <c r="B88" s="6"/>
      <c r="C88" s="53"/>
      <c r="D88" s="53"/>
      <c r="E88" s="53"/>
      <c r="F88" s="53"/>
      <c r="G88" s="53"/>
      <c r="H88" s="53"/>
      <c r="I88" s="6"/>
      <c r="J88" s="6"/>
      <c r="K88" s="54"/>
      <c r="L88" s="6"/>
      <c r="M88" s="6"/>
      <c r="N88" s="6"/>
      <c r="O88" s="6"/>
      <c r="P88" s="6"/>
      <c r="Q88" s="6"/>
      <c r="R88" s="6"/>
      <c r="S88" s="6"/>
      <c r="T88" s="6"/>
      <c r="U88" s="6"/>
      <c r="V88" s="6"/>
      <c r="W88" s="6"/>
      <c r="X88" s="6"/>
      <c r="Y88" s="6"/>
      <c r="Z88" s="6"/>
    </row>
    <row r="89" ht="22.5" customHeight="1">
      <c r="A89" s="6"/>
      <c r="B89" s="6"/>
      <c r="E89" s="53"/>
      <c r="F89" s="53"/>
      <c r="G89" s="53"/>
      <c r="H89" s="53"/>
      <c r="I89" s="6"/>
      <c r="J89" s="6"/>
      <c r="K89" s="54"/>
      <c r="L89" s="6"/>
      <c r="M89" s="6"/>
      <c r="N89" s="6"/>
      <c r="O89" s="6"/>
      <c r="P89" s="6"/>
      <c r="Q89" s="6"/>
      <c r="R89" s="6"/>
      <c r="S89" s="6"/>
      <c r="T89" s="6"/>
      <c r="U89" s="6"/>
      <c r="V89" s="6"/>
      <c r="W89" s="6"/>
      <c r="X89" s="6"/>
      <c r="Y89" s="6"/>
      <c r="Z89" s="6"/>
    </row>
    <row r="90" ht="22.5" customHeight="1">
      <c r="A90" s="6"/>
      <c r="B90" s="6"/>
      <c r="E90" s="53"/>
      <c r="F90" s="53"/>
      <c r="G90" s="53"/>
      <c r="H90" s="53"/>
      <c r="I90" s="6"/>
      <c r="J90" s="6"/>
      <c r="K90" s="54"/>
      <c r="L90" s="6"/>
      <c r="M90" s="6"/>
      <c r="N90" s="6"/>
      <c r="O90" s="6"/>
      <c r="P90" s="6"/>
      <c r="Q90" s="6"/>
      <c r="R90" s="6"/>
      <c r="S90" s="6"/>
      <c r="T90" s="6"/>
      <c r="U90" s="6"/>
      <c r="V90" s="6"/>
      <c r="W90" s="6"/>
      <c r="X90" s="6"/>
      <c r="Y90" s="6"/>
      <c r="Z90" s="6"/>
    </row>
    <row r="91" ht="22.5" customHeight="1">
      <c r="A91" s="6"/>
      <c r="B91" s="6"/>
      <c r="C91" s="53"/>
      <c r="D91" s="53"/>
      <c r="E91" s="53"/>
      <c r="F91" s="53"/>
      <c r="G91" s="53"/>
      <c r="H91" s="53"/>
      <c r="I91" s="6"/>
      <c r="J91" s="6"/>
      <c r="K91" s="54"/>
      <c r="L91" s="6"/>
      <c r="M91" s="6"/>
      <c r="N91" s="6"/>
      <c r="O91" s="6"/>
      <c r="P91" s="6"/>
      <c r="Q91" s="6"/>
      <c r="R91" s="6"/>
      <c r="S91" s="6"/>
      <c r="T91" s="6"/>
      <c r="U91" s="6"/>
      <c r="V91" s="6"/>
      <c r="W91" s="6"/>
      <c r="X91" s="6"/>
      <c r="Y91" s="6"/>
      <c r="Z91" s="6"/>
    </row>
    <row r="92" ht="22.5" customHeight="1">
      <c r="A92" s="6"/>
      <c r="B92" s="6"/>
      <c r="C92" s="53"/>
      <c r="D92" s="53"/>
      <c r="E92" s="53"/>
      <c r="F92" s="53"/>
      <c r="G92" s="53"/>
      <c r="H92" s="53"/>
      <c r="I92" s="6"/>
      <c r="J92" s="6"/>
      <c r="K92" s="54"/>
      <c r="L92" s="6"/>
      <c r="M92" s="6"/>
      <c r="N92" s="6"/>
      <c r="O92" s="6"/>
      <c r="P92" s="6"/>
      <c r="Q92" s="6"/>
      <c r="R92" s="6"/>
      <c r="S92" s="6"/>
      <c r="T92" s="6"/>
      <c r="U92" s="6"/>
      <c r="V92" s="6"/>
      <c r="W92" s="6"/>
      <c r="X92" s="6"/>
      <c r="Y92" s="6"/>
      <c r="Z92" s="6"/>
    </row>
    <row r="93" ht="22.5" customHeight="1">
      <c r="A93" s="6"/>
      <c r="B93" s="6"/>
      <c r="C93" s="53"/>
      <c r="D93" s="53"/>
      <c r="E93" s="53"/>
      <c r="F93" s="53"/>
      <c r="G93" s="53"/>
      <c r="H93" s="53"/>
      <c r="I93" s="6"/>
      <c r="J93" s="6"/>
      <c r="K93" s="54"/>
      <c r="L93" s="6"/>
      <c r="M93" s="6"/>
      <c r="N93" s="6"/>
      <c r="O93" s="6"/>
      <c r="P93" s="6"/>
      <c r="Q93" s="6"/>
      <c r="R93" s="6"/>
      <c r="S93" s="6"/>
      <c r="T93" s="6"/>
      <c r="U93" s="6"/>
      <c r="V93" s="6"/>
      <c r="W93" s="6"/>
      <c r="X93" s="6"/>
      <c r="Y93" s="6"/>
      <c r="Z93" s="6"/>
    </row>
    <row r="94" ht="22.5" customHeight="1">
      <c r="A94" s="6"/>
      <c r="B94" s="6"/>
      <c r="C94" s="53"/>
      <c r="D94" s="53"/>
      <c r="E94" s="53"/>
      <c r="F94" s="53"/>
      <c r="G94" s="53"/>
      <c r="H94" s="53"/>
      <c r="I94" s="6"/>
      <c r="J94" s="6"/>
      <c r="K94" s="54"/>
      <c r="L94" s="6"/>
      <c r="M94" s="6"/>
      <c r="N94" s="6"/>
      <c r="O94" s="6"/>
      <c r="P94" s="6"/>
      <c r="Q94" s="6"/>
      <c r="R94" s="6"/>
      <c r="S94" s="6"/>
      <c r="T94" s="6"/>
      <c r="U94" s="6"/>
      <c r="V94" s="6"/>
      <c r="W94" s="6"/>
      <c r="X94" s="6"/>
      <c r="Y94" s="6"/>
      <c r="Z94" s="6"/>
    </row>
    <row r="95" ht="22.5" customHeight="1">
      <c r="A95" s="6"/>
      <c r="B95" s="6"/>
      <c r="C95" s="53"/>
      <c r="D95" s="53"/>
      <c r="E95" s="53"/>
      <c r="F95" s="53"/>
      <c r="G95" s="53"/>
      <c r="H95" s="53"/>
      <c r="I95" s="6"/>
      <c r="J95" s="6"/>
      <c r="K95" s="54"/>
      <c r="L95" s="6"/>
      <c r="M95" s="6"/>
      <c r="N95" s="6"/>
      <c r="O95" s="6"/>
      <c r="P95" s="6"/>
      <c r="Q95" s="6"/>
      <c r="R95" s="6"/>
      <c r="S95" s="6"/>
      <c r="T95" s="6"/>
      <c r="U95" s="6"/>
      <c r="V95" s="6"/>
      <c r="W95" s="6"/>
      <c r="X95" s="6"/>
      <c r="Y95" s="6"/>
      <c r="Z95" s="6"/>
    </row>
    <row r="96" ht="22.5" customHeight="1">
      <c r="A96" s="6"/>
      <c r="B96" s="6"/>
      <c r="C96" s="53"/>
      <c r="D96" s="53"/>
      <c r="E96" s="53"/>
      <c r="F96" s="53"/>
      <c r="G96" s="53"/>
      <c r="H96" s="53"/>
      <c r="I96" s="6"/>
      <c r="J96" s="6"/>
      <c r="K96" s="54"/>
      <c r="L96" s="6"/>
      <c r="M96" s="6"/>
      <c r="N96" s="6"/>
      <c r="O96" s="6"/>
      <c r="P96" s="6"/>
      <c r="Q96" s="6"/>
      <c r="R96" s="6"/>
      <c r="S96" s="6"/>
      <c r="T96" s="6"/>
      <c r="U96" s="6"/>
      <c r="V96" s="6"/>
      <c r="W96" s="6"/>
      <c r="X96" s="6"/>
      <c r="Y96" s="6"/>
      <c r="Z96" s="6"/>
    </row>
    <row r="97" ht="22.5" customHeight="1">
      <c r="A97" s="6"/>
      <c r="B97" s="6"/>
      <c r="C97" s="53"/>
      <c r="D97" s="53"/>
      <c r="E97" s="53"/>
      <c r="F97" s="53"/>
      <c r="G97" s="53"/>
      <c r="H97" s="53"/>
      <c r="I97" s="6"/>
      <c r="J97" s="6"/>
      <c r="K97" s="54"/>
      <c r="L97" s="6"/>
      <c r="M97" s="6"/>
      <c r="N97" s="6"/>
      <c r="O97" s="6"/>
      <c r="P97" s="6"/>
      <c r="Q97" s="6"/>
      <c r="R97" s="6"/>
      <c r="S97" s="6"/>
      <c r="T97" s="6"/>
      <c r="U97" s="6"/>
      <c r="V97" s="6"/>
      <c r="W97" s="6"/>
      <c r="X97" s="6"/>
      <c r="Y97" s="6"/>
      <c r="Z97" s="6"/>
    </row>
    <row r="98" ht="22.5" customHeight="1">
      <c r="A98" s="6"/>
      <c r="B98" s="6"/>
      <c r="C98" s="53"/>
      <c r="D98" s="53"/>
      <c r="E98" s="53"/>
      <c r="F98" s="53"/>
      <c r="G98" s="53"/>
      <c r="H98" s="53"/>
      <c r="I98" s="6"/>
      <c r="J98" s="6"/>
      <c r="K98" s="54"/>
      <c r="L98" s="6"/>
      <c r="M98" s="6"/>
      <c r="N98" s="6"/>
      <c r="O98" s="6"/>
      <c r="P98" s="6"/>
      <c r="Q98" s="6"/>
      <c r="R98" s="6"/>
      <c r="S98" s="6"/>
      <c r="T98" s="6"/>
      <c r="U98" s="6"/>
      <c r="V98" s="6"/>
      <c r="W98" s="6"/>
      <c r="X98" s="6"/>
      <c r="Y98" s="6"/>
      <c r="Z98" s="6"/>
    </row>
    <row r="99" ht="22.5" customHeight="1">
      <c r="A99" s="6"/>
      <c r="B99" s="6"/>
      <c r="C99" s="53"/>
      <c r="D99" s="53"/>
      <c r="E99" s="53"/>
      <c r="F99" s="53"/>
      <c r="G99" s="53"/>
      <c r="H99" s="53"/>
      <c r="I99" s="6"/>
      <c r="J99" s="6"/>
      <c r="K99" s="54"/>
      <c r="L99" s="6"/>
      <c r="M99" s="6"/>
      <c r="N99" s="6"/>
      <c r="O99" s="6"/>
      <c r="P99" s="6"/>
      <c r="Q99" s="6"/>
      <c r="R99" s="6"/>
      <c r="S99" s="6"/>
      <c r="T99" s="6"/>
      <c r="U99" s="6"/>
      <c r="V99" s="6"/>
      <c r="W99" s="6"/>
      <c r="X99" s="6"/>
      <c r="Y99" s="6"/>
      <c r="Z99" s="6"/>
    </row>
    <row r="100" ht="22.5" customHeight="1">
      <c r="A100" s="6"/>
      <c r="B100" s="6"/>
      <c r="C100" s="53"/>
      <c r="D100" s="53"/>
      <c r="E100" s="53"/>
      <c r="F100" s="53"/>
      <c r="G100" s="53"/>
      <c r="H100" s="53"/>
      <c r="I100" s="6"/>
      <c r="J100" s="6"/>
      <c r="K100" s="54"/>
      <c r="L100" s="6"/>
      <c r="M100" s="6"/>
      <c r="N100" s="6"/>
      <c r="O100" s="6"/>
      <c r="P100" s="6"/>
      <c r="Q100" s="6"/>
      <c r="R100" s="6"/>
      <c r="S100" s="6"/>
      <c r="T100" s="6"/>
      <c r="U100" s="6"/>
      <c r="V100" s="6"/>
      <c r="W100" s="6"/>
      <c r="X100" s="6"/>
      <c r="Y100" s="6"/>
      <c r="Z100" s="6"/>
    </row>
    <row r="101" ht="22.5" customHeight="1">
      <c r="A101" s="6"/>
      <c r="B101" s="6"/>
      <c r="C101" s="53"/>
      <c r="D101" s="53"/>
      <c r="E101" s="53"/>
      <c r="F101" s="53"/>
      <c r="G101" s="53"/>
      <c r="H101" s="53"/>
      <c r="I101" s="6"/>
      <c r="J101" s="6"/>
      <c r="K101" s="54"/>
      <c r="L101" s="6"/>
      <c r="M101" s="6"/>
      <c r="N101" s="6"/>
      <c r="O101" s="6"/>
      <c r="P101" s="6"/>
      <c r="Q101" s="6"/>
      <c r="R101" s="6"/>
      <c r="S101" s="6"/>
      <c r="T101" s="6"/>
      <c r="U101" s="6"/>
      <c r="V101" s="6"/>
      <c r="W101" s="6"/>
      <c r="X101" s="6"/>
      <c r="Y101" s="6"/>
      <c r="Z101" s="6"/>
    </row>
    <row r="102" ht="22.5" customHeight="1">
      <c r="A102" s="6"/>
      <c r="B102" s="6"/>
      <c r="C102" s="53"/>
      <c r="D102" s="53"/>
      <c r="E102" s="53"/>
      <c r="F102" s="53"/>
      <c r="G102" s="53"/>
      <c r="H102" s="53"/>
      <c r="I102" s="6"/>
      <c r="J102" s="6"/>
      <c r="K102" s="54"/>
      <c r="L102" s="6"/>
      <c r="M102" s="6"/>
      <c r="N102" s="6"/>
      <c r="O102" s="6"/>
      <c r="P102" s="6"/>
      <c r="Q102" s="6"/>
      <c r="R102" s="6"/>
      <c r="S102" s="6"/>
      <c r="T102" s="6"/>
      <c r="U102" s="6"/>
      <c r="V102" s="6"/>
      <c r="W102" s="6"/>
      <c r="X102" s="6"/>
      <c r="Y102" s="6"/>
      <c r="Z102" s="6"/>
    </row>
    <row r="103" ht="22.5" customHeight="1">
      <c r="A103" s="6"/>
      <c r="B103" s="6"/>
      <c r="C103" s="53"/>
      <c r="D103" s="53"/>
      <c r="E103" s="53"/>
      <c r="F103" s="53"/>
      <c r="G103" s="53"/>
      <c r="H103" s="53"/>
      <c r="I103" s="6"/>
      <c r="J103" s="6"/>
      <c r="K103" s="54"/>
      <c r="L103" s="6"/>
      <c r="M103" s="6"/>
      <c r="N103" s="6"/>
      <c r="O103" s="6"/>
      <c r="P103" s="6"/>
      <c r="Q103" s="6"/>
      <c r="R103" s="6"/>
      <c r="S103" s="6"/>
      <c r="T103" s="6"/>
      <c r="U103" s="6"/>
      <c r="V103" s="6"/>
      <c r="W103" s="6"/>
      <c r="X103" s="6"/>
      <c r="Y103" s="6"/>
      <c r="Z103" s="6"/>
    </row>
    <row r="104" ht="22.5" customHeight="1">
      <c r="A104" s="6"/>
      <c r="B104" s="6"/>
      <c r="C104" s="53"/>
      <c r="D104" s="53"/>
      <c r="E104" s="53"/>
      <c r="F104" s="53"/>
      <c r="G104" s="53"/>
      <c r="H104" s="53"/>
      <c r="I104" s="6"/>
      <c r="J104" s="6"/>
      <c r="K104" s="54"/>
      <c r="L104" s="6"/>
      <c r="M104" s="6"/>
      <c r="N104" s="6"/>
      <c r="O104" s="6"/>
      <c r="P104" s="6"/>
      <c r="Q104" s="6"/>
      <c r="R104" s="6"/>
      <c r="S104" s="6"/>
      <c r="T104" s="6"/>
      <c r="U104" s="6"/>
      <c r="V104" s="6"/>
      <c r="W104" s="6"/>
      <c r="X104" s="6"/>
      <c r="Y104" s="6"/>
      <c r="Z104" s="6"/>
    </row>
    <row r="105" ht="22.5" customHeight="1">
      <c r="A105" s="6"/>
      <c r="B105" s="6"/>
      <c r="C105" s="53"/>
      <c r="D105" s="53"/>
      <c r="E105" s="53"/>
      <c r="F105" s="53"/>
      <c r="G105" s="53"/>
      <c r="H105" s="53"/>
      <c r="I105" s="6"/>
      <c r="J105" s="6"/>
      <c r="K105" s="54"/>
      <c r="L105" s="6"/>
      <c r="M105" s="6"/>
      <c r="N105" s="6"/>
      <c r="O105" s="6"/>
      <c r="P105" s="6"/>
      <c r="Q105" s="6"/>
      <c r="R105" s="6"/>
      <c r="S105" s="6"/>
      <c r="T105" s="6"/>
      <c r="U105" s="6"/>
      <c r="V105" s="6"/>
      <c r="W105" s="6"/>
      <c r="X105" s="6"/>
      <c r="Y105" s="6"/>
      <c r="Z105" s="6"/>
    </row>
    <row r="106" ht="22.5" customHeight="1">
      <c r="A106" s="6"/>
      <c r="B106" s="6"/>
      <c r="C106" s="53"/>
      <c r="D106" s="53"/>
      <c r="E106" s="53"/>
      <c r="F106" s="53"/>
      <c r="G106" s="53"/>
      <c r="H106" s="53"/>
      <c r="I106" s="6"/>
      <c r="J106" s="6"/>
      <c r="K106" s="54"/>
      <c r="L106" s="6"/>
      <c r="M106" s="6"/>
      <c r="N106" s="6"/>
      <c r="O106" s="6"/>
      <c r="P106" s="6"/>
      <c r="Q106" s="6"/>
      <c r="R106" s="6"/>
      <c r="S106" s="6"/>
      <c r="T106" s="6"/>
      <c r="U106" s="6"/>
      <c r="V106" s="6"/>
      <c r="W106" s="6"/>
      <c r="X106" s="6"/>
      <c r="Y106" s="6"/>
      <c r="Z106" s="6"/>
    </row>
    <row r="107" ht="22.5" customHeight="1">
      <c r="A107" s="6"/>
      <c r="B107" s="6"/>
      <c r="C107" s="53"/>
      <c r="D107" s="53"/>
      <c r="E107" s="53"/>
      <c r="F107" s="53"/>
      <c r="G107" s="53"/>
      <c r="H107" s="53"/>
      <c r="I107" s="6"/>
      <c r="J107" s="6"/>
      <c r="K107" s="54"/>
      <c r="L107" s="6"/>
      <c r="M107" s="6"/>
      <c r="N107" s="6"/>
      <c r="O107" s="6"/>
      <c r="P107" s="6"/>
      <c r="Q107" s="6"/>
      <c r="R107" s="6"/>
      <c r="S107" s="6"/>
      <c r="T107" s="6"/>
      <c r="U107" s="6"/>
      <c r="V107" s="6"/>
      <c r="W107" s="6"/>
      <c r="X107" s="6"/>
      <c r="Y107" s="6"/>
      <c r="Z107" s="6"/>
    </row>
    <row r="108" ht="22.5" customHeight="1">
      <c r="A108" s="6"/>
      <c r="B108" s="6"/>
      <c r="C108" s="53"/>
      <c r="D108" s="53"/>
      <c r="E108" s="53"/>
      <c r="F108" s="53"/>
      <c r="G108" s="53"/>
      <c r="H108" s="53"/>
      <c r="I108" s="6"/>
      <c r="J108" s="6"/>
      <c r="K108" s="54"/>
      <c r="L108" s="6"/>
      <c r="M108" s="6"/>
      <c r="N108" s="6"/>
      <c r="O108" s="6"/>
      <c r="P108" s="6"/>
      <c r="Q108" s="6"/>
      <c r="R108" s="6"/>
      <c r="S108" s="6"/>
      <c r="T108" s="6"/>
      <c r="U108" s="6"/>
      <c r="V108" s="6"/>
      <c r="W108" s="6"/>
      <c r="X108" s="6"/>
      <c r="Y108" s="6"/>
      <c r="Z108" s="6"/>
    </row>
    <row r="109" ht="22.5" customHeight="1">
      <c r="A109" s="6"/>
      <c r="B109" s="6"/>
      <c r="C109" s="53"/>
      <c r="D109" s="53"/>
      <c r="E109" s="53"/>
      <c r="F109" s="53"/>
      <c r="G109" s="53"/>
      <c r="H109" s="53"/>
      <c r="I109" s="6"/>
      <c r="J109" s="6"/>
      <c r="K109" s="54"/>
      <c r="L109" s="6"/>
      <c r="M109" s="6"/>
      <c r="N109" s="6"/>
      <c r="O109" s="6"/>
      <c r="P109" s="6"/>
      <c r="Q109" s="6"/>
      <c r="R109" s="6"/>
      <c r="S109" s="6"/>
      <c r="T109" s="6"/>
      <c r="U109" s="6"/>
      <c r="V109" s="6"/>
      <c r="W109" s="6"/>
      <c r="X109" s="6"/>
      <c r="Y109" s="6"/>
      <c r="Z109" s="6"/>
    </row>
    <row r="110" ht="22.5" customHeight="1">
      <c r="A110" s="6"/>
      <c r="B110" s="6"/>
      <c r="C110" s="53"/>
      <c r="D110" s="53"/>
      <c r="E110" s="53"/>
      <c r="F110" s="53"/>
      <c r="G110" s="53"/>
      <c r="H110" s="53"/>
      <c r="I110" s="6"/>
      <c r="J110" s="6"/>
      <c r="K110" s="54"/>
      <c r="L110" s="6"/>
      <c r="M110" s="6"/>
      <c r="N110" s="6"/>
      <c r="O110" s="6"/>
      <c r="P110" s="6"/>
      <c r="Q110" s="6"/>
      <c r="R110" s="6"/>
      <c r="S110" s="6"/>
      <c r="T110" s="6"/>
      <c r="U110" s="6"/>
      <c r="V110" s="6"/>
      <c r="W110" s="6"/>
      <c r="X110" s="6"/>
      <c r="Y110" s="6"/>
      <c r="Z110" s="6"/>
    </row>
    <row r="111" ht="22.5" customHeight="1">
      <c r="A111" s="6"/>
      <c r="B111" s="6"/>
      <c r="C111" s="53"/>
      <c r="D111" s="53"/>
      <c r="E111" s="53"/>
      <c r="F111" s="53"/>
      <c r="G111" s="53"/>
      <c r="H111" s="53"/>
      <c r="I111" s="6"/>
      <c r="J111" s="6"/>
      <c r="K111" s="54"/>
      <c r="L111" s="6"/>
      <c r="M111" s="6"/>
      <c r="N111" s="6"/>
      <c r="O111" s="6"/>
      <c r="P111" s="6"/>
      <c r="Q111" s="6"/>
      <c r="R111" s="6"/>
      <c r="S111" s="6"/>
      <c r="T111" s="6"/>
      <c r="U111" s="6"/>
      <c r="V111" s="6"/>
      <c r="W111" s="6"/>
      <c r="X111" s="6"/>
      <c r="Y111" s="6"/>
      <c r="Z111" s="6"/>
    </row>
    <row r="112" ht="22.5" customHeight="1">
      <c r="A112" s="6"/>
      <c r="B112" s="6"/>
      <c r="C112" s="53"/>
      <c r="D112" s="53"/>
      <c r="E112" s="53"/>
      <c r="F112" s="53"/>
      <c r="G112" s="53"/>
      <c r="H112" s="53"/>
      <c r="I112" s="6"/>
      <c r="J112" s="6"/>
      <c r="K112" s="54"/>
      <c r="L112" s="6"/>
      <c r="M112" s="6"/>
      <c r="N112" s="6"/>
      <c r="O112" s="6"/>
      <c r="P112" s="6"/>
      <c r="Q112" s="6"/>
      <c r="R112" s="6"/>
      <c r="S112" s="6"/>
      <c r="T112" s="6"/>
      <c r="U112" s="6"/>
      <c r="V112" s="6"/>
      <c r="W112" s="6"/>
      <c r="X112" s="6"/>
      <c r="Y112" s="6"/>
      <c r="Z112" s="6"/>
    </row>
    <row r="113" ht="22.5" customHeight="1">
      <c r="A113" s="6"/>
      <c r="B113" s="6"/>
      <c r="C113" s="53"/>
      <c r="D113" s="53"/>
      <c r="E113" s="53"/>
      <c r="F113" s="53"/>
      <c r="G113" s="53"/>
      <c r="H113" s="53"/>
      <c r="I113" s="6"/>
      <c r="J113" s="6"/>
      <c r="K113" s="54"/>
      <c r="L113" s="6"/>
      <c r="M113" s="6"/>
      <c r="N113" s="6"/>
      <c r="O113" s="6"/>
      <c r="P113" s="6"/>
      <c r="Q113" s="6"/>
      <c r="R113" s="6"/>
      <c r="S113" s="6"/>
      <c r="T113" s="6"/>
      <c r="U113" s="6"/>
      <c r="V113" s="6"/>
      <c r="W113" s="6"/>
      <c r="X113" s="6"/>
      <c r="Y113" s="6"/>
      <c r="Z113" s="6"/>
    </row>
    <row r="114" ht="22.5" customHeight="1">
      <c r="A114" s="6"/>
      <c r="B114" s="6"/>
      <c r="C114" s="53"/>
      <c r="D114" s="53"/>
      <c r="E114" s="53"/>
      <c r="F114" s="53"/>
      <c r="G114" s="53"/>
      <c r="H114" s="53"/>
      <c r="I114" s="6"/>
      <c r="J114" s="6"/>
      <c r="K114" s="54"/>
      <c r="L114" s="6"/>
      <c r="M114" s="6"/>
      <c r="N114" s="6"/>
      <c r="O114" s="6"/>
      <c r="P114" s="6"/>
      <c r="Q114" s="6"/>
      <c r="R114" s="6"/>
      <c r="S114" s="6"/>
      <c r="T114" s="6"/>
      <c r="U114" s="6"/>
      <c r="V114" s="6"/>
      <c r="W114" s="6"/>
      <c r="X114" s="6"/>
      <c r="Y114" s="6"/>
      <c r="Z114" s="6"/>
    </row>
    <row r="115" ht="22.5" customHeight="1">
      <c r="A115" s="6"/>
      <c r="B115" s="6"/>
      <c r="C115" s="53"/>
      <c r="D115" s="53"/>
      <c r="E115" s="53"/>
      <c r="F115" s="53"/>
      <c r="G115" s="53"/>
      <c r="H115" s="53"/>
      <c r="I115" s="6"/>
      <c r="J115" s="6"/>
      <c r="K115" s="54"/>
      <c r="L115" s="6"/>
      <c r="M115" s="6"/>
      <c r="N115" s="6"/>
      <c r="O115" s="6"/>
      <c r="P115" s="6"/>
      <c r="Q115" s="6"/>
      <c r="R115" s="6"/>
      <c r="S115" s="6"/>
      <c r="T115" s="6"/>
      <c r="U115" s="6"/>
      <c r="V115" s="6"/>
      <c r="W115" s="6"/>
      <c r="X115" s="6"/>
      <c r="Y115" s="6"/>
      <c r="Z115" s="6"/>
    </row>
    <row r="116" ht="22.5" customHeight="1">
      <c r="A116" s="6"/>
      <c r="B116" s="6"/>
      <c r="C116" s="53"/>
      <c r="D116" s="53"/>
      <c r="E116" s="53"/>
      <c r="F116" s="53"/>
      <c r="G116" s="53"/>
      <c r="H116" s="53"/>
      <c r="I116" s="6"/>
      <c r="J116" s="6"/>
      <c r="K116" s="54"/>
      <c r="L116" s="6"/>
      <c r="M116" s="6"/>
      <c r="N116" s="6"/>
      <c r="O116" s="6"/>
      <c r="P116" s="6"/>
      <c r="Q116" s="6"/>
      <c r="R116" s="6"/>
      <c r="S116" s="6"/>
      <c r="T116" s="6"/>
      <c r="U116" s="6"/>
      <c r="V116" s="6"/>
      <c r="W116" s="6"/>
      <c r="X116" s="6"/>
      <c r="Y116" s="6"/>
      <c r="Z116" s="6"/>
    </row>
    <row r="117" ht="22.5" customHeight="1">
      <c r="A117" s="6"/>
      <c r="B117" s="6"/>
      <c r="C117" s="53"/>
      <c r="D117" s="53"/>
      <c r="E117" s="53"/>
      <c r="F117" s="53"/>
      <c r="G117" s="53"/>
      <c r="H117" s="53"/>
      <c r="I117" s="6"/>
      <c r="J117" s="6"/>
      <c r="K117" s="54"/>
      <c r="L117" s="6"/>
      <c r="M117" s="6"/>
      <c r="N117" s="6"/>
      <c r="O117" s="6"/>
      <c r="P117" s="6"/>
      <c r="Q117" s="6"/>
      <c r="R117" s="6"/>
      <c r="S117" s="6"/>
      <c r="T117" s="6"/>
      <c r="U117" s="6"/>
      <c r="V117" s="6"/>
      <c r="W117" s="6"/>
      <c r="X117" s="6"/>
      <c r="Y117" s="6"/>
      <c r="Z117" s="6"/>
    </row>
    <row r="118" ht="22.5" customHeight="1">
      <c r="A118" s="6"/>
      <c r="B118" s="6"/>
      <c r="C118" s="53"/>
      <c r="D118" s="53"/>
      <c r="E118" s="53"/>
      <c r="F118" s="53"/>
      <c r="G118" s="53"/>
      <c r="H118" s="53"/>
      <c r="I118" s="6"/>
      <c r="J118" s="6"/>
      <c r="K118" s="54"/>
      <c r="L118" s="6"/>
      <c r="M118" s="6"/>
      <c r="N118" s="6"/>
      <c r="O118" s="6"/>
      <c r="P118" s="6"/>
      <c r="Q118" s="6"/>
      <c r="R118" s="6"/>
      <c r="S118" s="6"/>
      <c r="T118" s="6"/>
      <c r="U118" s="6"/>
      <c r="V118" s="6"/>
      <c r="W118" s="6"/>
      <c r="X118" s="6"/>
      <c r="Y118" s="6"/>
      <c r="Z118" s="6"/>
    </row>
    <row r="119" ht="22.5" customHeight="1">
      <c r="A119" s="6"/>
      <c r="B119" s="6"/>
      <c r="C119" s="53"/>
      <c r="D119" s="53"/>
      <c r="E119" s="53"/>
      <c r="F119" s="53"/>
      <c r="G119" s="53"/>
      <c r="H119" s="53"/>
      <c r="I119" s="6"/>
      <c r="J119" s="6"/>
      <c r="K119" s="54"/>
      <c r="L119" s="6"/>
      <c r="M119" s="6"/>
      <c r="N119" s="6"/>
      <c r="O119" s="6"/>
      <c r="P119" s="6"/>
      <c r="Q119" s="6"/>
      <c r="R119" s="6"/>
      <c r="S119" s="6"/>
      <c r="T119" s="6"/>
      <c r="U119" s="6"/>
      <c r="V119" s="6"/>
      <c r="W119" s="6"/>
      <c r="X119" s="6"/>
      <c r="Y119" s="6"/>
      <c r="Z119" s="6"/>
    </row>
    <row r="120" ht="22.5" customHeight="1">
      <c r="A120" s="6"/>
      <c r="B120" s="6"/>
      <c r="C120" s="53"/>
      <c r="D120" s="53"/>
      <c r="E120" s="53"/>
      <c r="F120" s="53"/>
      <c r="G120" s="53"/>
      <c r="H120" s="53"/>
      <c r="I120" s="6"/>
      <c r="J120" s="6"/>
      <c r="K120" s="54"/>
      <c r="L120" s="6"/>
      <c r="M120" s="6"/>
      <c r="N120" s="6"/>
      <c r="O120" s="6"/>
      <c r="P120" s="6"/>
      <c r="Q120" s="6"/>
      <c r="R120" s="6"/>
      <c r="S120" s="6"/>
      <c r="T120" s="6"/>
      <c r="U120" s="6"/>
      <c r="V120" s="6"/>
      <c r="W120" s="6"/>
      <c r="X120" s="6"/>
      <c r="Y120" s="6"/>
      <c r="Z120" s="6"/>
    </row>
    <row r="121" ht="22.5" customHeight="1">
      <c r="A121" s="6"/>
      <c r="B121" s="6"/>
      <c r="C121" s="53"/>
      <c r="D121" s="53"/>
      <c r="E121" s="53"/>
      <c r="F121" s="53"/>
      <c r="G121" s="53"/>
      <c r="H121" s="53"/>
      <c r="I121" s="6"/>
      <c r="J121" s="6"/>
      <c r="K121" s="54"/>
      <c r="L121" s="6"/>
      <c r="M121" s="6"/>
      <c r="N121" s="6"/>
      <c r="O121" s="6"/>
      <c r="P121" s="6"/>
      <c r="Q121" s="6"/>
      <c r="R121" s="6"/>
      <c r="S121" s="6"/>
      <c r="T121" s="6"/>
      <c r="U121" s="6"/>
      <c r="V121" s="6"/>
      <c r="W121" s="6"/>
      <c r="X121" s="6"/>
      <c r="Y121" s="6"/>
      <c r="Z121" s="6"/>
    </row>
    <row r="122" ht="15.75" customHeight="1">
      <c r="A122" s="6"/>
      <c r="B122" s="6"/>
      <c r="C122" s="53"/>
      <c r="D122" s="53"/>
      <c r="E122" s="53"/>
      <c r="F122" s="53"/>
      <c r="G122" s="53"/>
      <c r="H122" s="53"/>
      <c r="I122" s="6"/>
      <c r="J122" s="6"/>
      <c r="K122" s="54"/>
      <c r="L122" s="6"/>
      <c r="M122" s="6"/>
      <c r="N122" s="6"/>
      <c r="O122" s="6"/>
      <c r="P122" s="6"/>
      <c r="Q122" s="6"/>
      <c r="R122" s="6"/>
      <c r="S122" s="6"/>
      <c r="T122" s="6"/>
      <c r="U122" s="6"/>
      <c r="V122" s="6"/>
      <c r="W122" s="6"/>
      <c r="X122" s="6"/>
      <c r="Y122" s="6"/>
      <c r="Z122" s="6"/>
    </row>
    <row r="123" ht="15.75" customHeight="1">
      <c r="A123" s="6"/>
      <c r="B123" s="6"/>
      <c r="C123" s="53"/>
      <c r="D123" s="53"/>
      <c r="E123" s="53"/>
      <c r="F123" s="53"/>
      <c r="G123" s="53"/>
      <c r="H123" s="53"/>
      <c r="I123" s="6"/>
      <c r="J123" s="6"/>
      <c r="K123" s="54"/>
      <c r="L123" s="6"/>
      <c r="M123" s="6"/>
      <c r="N123" s="6"/>
      <c r="O123" s="6"/>
      <c r="P123" s="6"/>
      <c r="Q123" s="6"/>
      <c r="R123" s="6"/>
      <c r="S123" s="6"/>
      <c r="T123" s="6"/>
      <c r="U123" s="6"/>
      <c r="V123" s="6"/>
      <c r="W123" s="6"/>
      <c r="X123" s="6"/>
      <c r="Y123" s="6"/>
      <c r="Z123" s="6"/>
    </row>
    <row r="124" ht="15.75" customHeight="1">
      <c r="A124" s="6"/>
      <c r="B124" s="6"/>
      <c r="C124" s="53"/>
      <c r="D124" s="53"/>
      <c r="E124" s="53"/>
      <c r="F124" s="53"/>
      <c r="G124" s="53"/>
      <c r="H124" s="53"/>
      <c r="I124" s="6"/>
      <c r="J124" s="6"/>
      <c r="K124" s="54"/>
      <c r="L124" s="6"/>
      <c r="M124" s="6"/>
      <c r="N124" s="6"/>
      <c r="O124" s="6"/>
      <c r="P124" s="6"/>
      <c r="Q124" s="6"/>
      <c r="R124" s="6"/>
      <c r="S124" s="6"/>
      <c r="T124" s="6"/>
      <c r="U124" s="6"/>
      <c r="V124" s="6"/>
      <c r="W124" s="6"/>
      <c r="X124" s="6"/>
      <c r="Y124" s="6"/>
      <c r="Z124" s="6"/>
    </row>
    <row r="125" ht="15.75" customHeight="1">
      <c r="A125" s="6"/>
      <c r="B125" s="6"/>
      <c r="C125" s="53"/>
      <c r="D125" s="53"/>
      <c r="E125" s="53"/>
      <c r="F125" s="53"/>
      <c r="G125" s="53"/>
      <c r="H125" s="53"/>
      <c r="I125" s="6"/>
      <c r="J125" s="6"/>
      <c r="K125" s="54"/>
      <c r="L125" s="6"/>
      <c r="M125" s="6"/>
      <c r="N125" s="6"/>
      <c r="O125" s="6"/>
      <c r="P125" s="6"/>
      <c r="Q125" s="6"/>
      <c r="R125" s="6"/>
      <c r="S125" s="6"/>
      <c r="T125" s="6"/>
      <c r="U125" s="6"/>
      <c r="V125" s="6"/>
      <c r="W125" s="6"/>
      <c r="X125" s="6"/>
      <c r="Y125" s="6"/>
      <c r="Z125" s="6"/>
    </row>
    <row r="126" ht="15.75" customHeight="1">
      <c r="A126" s="6"/>
      <c r="B126" s="6"/>
      <c r="C126" s="53"/>
      <c r="D126" s="53"/>
      <c r="E126" s="53"/>
      <c r="F126" s="53"/>
      <c r="G126" s="53"/>
      <c r="H126" s="53"/>
      <c r="I126" s="6"/>
      <c r="J126" s="6"/>
      <c r="K126" s="54"/>
      <c r="L126" s="6"/>
      <c r="M126" s="6"/>
      <c r="N126" s="6"/>
      <c r="O126" s="6"/>
      <c r="P126" s="6"/>
      <c r="Q126" s="6"/>
      <c r="R126" s="6"/>
      <c r="S126" s="6"/>
      <c r="T126" s="6"/>
      <c r="U126" s="6"/>
      <c r="V126" s="6"/>
      <c r="W126" s="6"/>
      <c r="X126" s="6"/>
      <c r="Y126" s="6"/>
      <c r="Z126" s="6"/>
    </row>
    <row r="127" ht="15.75" customHeight="1">
      <c r="A127" s="6"/>
      <c r="B127" s="6"/>
      <c r="C127" s="53"/>
      <c r="D127" s="53"/>
      <c r="E127" s="53"/>
      <c r="F127" s="53"/>
      <c r="G127" s="53"/>
      <c r="H127" s="53"/>
      <c r="I127" s="6"/>
      <c r="J127" s="6"/>
      <c r="K127" s="54"/>
      <c r="L127" s="6"/>
      <c r="M127" s="6"/>
      <c r="N127" s="6"/>
      <c r="O127" s="6"/>
      <c r="P127" s="6"/>
      <c r="Q127" s="6"/>
      <c r="R127" s="6"/>
      <c r="S127" s="6"/>
      <c r="T127" s="6"/>
      <c r="U127" s="6"/>
      <c r="V127" s="6"/>
      <c r="W127" s="6"/>
      <c r="X127" s="6"/>
      <c r="Y127" s="6"/>
      <c r="Z127" s="6"/>
    </row>
    <row r="128" ht="15.75" customHeight="1">
      <c r="A128" s="6"/>
      <c r="B128" s="6"/>
      <c r="C128" s="53"/>
      <c r="D128" s="53"/>
      <c r="E128" s="53"/>
      <c r="F128" s="53"/>
      <c r="G128" s="53"/>
      <c r="H128" s="53"/>
      <c r="I128" s="6"/>
      <c r="J128" s="6"/>
      <c r="K128" s="54"/>
      <c r="L128" s="6"/>
      <c r="M128" s="6"/>
      <c r="N128" s="6"/>
      <c r="O128" s="6"/>
      <c r="P128" s="6"/>
      <c r="Q128" s="6"/>
      <c r="R128" s="6"/>
      <c r="S128" s="6"/>
      <c r="T128" s="6"/>
      <c r="U128" s="6"/>
      <c r="V128" s="6"/>
      <c r="W128" s="6"/>
      <c r="X128" s="6"/>
      <c r="Y128" s="6"/>
      <c r="Z128" s="6"/>
    </row>
    <row r="129" ht="15.75" customHeight="1">
      <c r="A129" s="6"/>
      <c r="B129" s="6"/>
      <c r="C129" s="53"/>
      <c r="D129" s="53"/>
      <c r="E129" s="53"/>
      <c r="F129" s="53"/>
      <c r="G129" s="53"/>
      <c r="H129" s="53"/>
      <c r="I129" s="6"/>
      <c r="J129" s="6"/>
      <c r="K129" s="54"/>
      <c r="L129" s="6"/>
      <c r="M129" s="6"/>
      <c r="N129" s="6"/>
      <c r="O129" s="6"/>
      <c r="P129" s="6"/>
      <c r="Q129" s="6"/>
      <c r="R129" s="6"/>
      <c r="S129" s="6"/>
      <c r="T129" s="6"/>
      <c r="U129" s="6"/>
      <c r="V129" s="6"/>
      <c r="W129" s="6"/>
      <c r="X129" s="6"/>
      <c r="Y129" s="6"/>
      <c r="Z129" s="6"/>
    </row>
    <row r="130" ht="15.75" customHeight="1">
      <c r="A130" s="6"/>
      <c r="B130" s="6"/>
      <c r="C130" s="53"/>
      <c r="D130" s="53"/>
      <c r="E130" s="53"/>
      <c r="F130" s="53"/>
      <c r="G130" s="53"/>
      <c r="H130" s="53"/>
      <c r="I130" s="6"/>
      <c r="J130" s="6"/>
      <c r="K130" s="54"/>
      <c r="L130" s="6"/>
      <c r="M130" s="6"/>
      <c r="N130" s="6"/>
      <c r="O130" s="6"/>
      <c r="P130" s="6"/>
      <c r="Q130" s="6"/>
      <c r="R130" s="6"/>
      <c r="S130" s="6"/>
      <c r="T130" s="6"/>
      <c r="U130" s="6"/>
      <c r="V130" s="6"/>
      <c r="W130" s="6"/>
      <c r="X130" s="6"/>
      <c r="Y130" s="6"/>
      <c r="Z130" s="6"/>
    </row>
    <row r="131" ht="15.75" customHeight="1">
      <c r="A131" s="6"/>
      <c r="B131" s="6"/>
      <c r="C131" s="53"/>
      <c r="D131" s="53"/>
      <c r="E131" s="53"/>
      <c r="F131" s="53"/>
      <c r="G131" s="53"/>
      <c r="H131" s="53"/>
      <c r="I131" s="6"/>
      <c r="J131" s="6"/>
      <c r="K131" s="54"/>
      <c r="L131" s="6"/>
      <c r="M131" s="6"/>
      <c r="N131" s="6"/>
      <c r="O131" s="6"/>
      <c r="P131" s="6"/>
      <c r="Q131" s="6"/>
      <c r="R131" s="6"/>
      <c r="S131" s="6"/>
      <c r="T131" s="6"/>
      <c r="U131" s="6"/>
      <c r="V131" s="6"/>
      <c r="W131" s="6"/>
      <c r="X131" s="6"/>
      <c r="Y131" s="6"/>
      <c r="Z131" s="6"/>
    </row>
    <row r="132" ht="15.75" customHeight="1">
      <c r="A132" s="6"/>
      <c r="B132" s="6"/>
      <c r="C132" s="53"/>
      <c r="D132" s="53"/>
      <c r="E132" s="53"/>
      <c r="F132" s="53"/>
      <c r="G132" s="53"/>
      <c r="H132" s="53"/>
      <c r="I132" s="6"/>
      <c r="J132" s="6"/>
      <c r="K132" s="54"/>
      <c r="L132" s="6"/>
      <c r="M132" s="6"/>
      <c r="N132" s="6"/>
      <c r="O132" s="6"/>
      <c r="P132" s="6"/>
      <c r="Q132" s="6"/>
      <c r="R132" s="6"/>
      <c r="S132" s="6"/>
      <c r="T132" s="6"/>
      <c r="U132" s="6"/>
      <c r="V132" s="6"/>
      <c r="W132" s="6"/>
      <c r="X132" s="6"/>
      <c r="Y132" s="6"/>
      <c r="Z132" s="6"/>
    </row>
    <row r="133" ht="15.75" customHeight="1">
      <c r="A133" s="6"/>
      <c r="B133" s="6"/>
      <c r="C133" s="53"/>
      <c r="D133" s="53"/>
      <c r="E133" s="53"/>
      <c r="F133" s="53"/>
      <c r="G133" s="53"/>
      <c r="H133" s="53"/>
      <c r="I133" s="6"/>
      <c r="J133" s="6"/>
      <c r="K133" s="54"/>
      <c r="L133" s="6"/>
      <c r="M133" s="6"/>
      <c r="N133" s="6"/>
      <c r="O133" s="6"/>
      <c r="P133" s="6"/>
      <c r="Q133" s="6"/>
      <c r="R133" s="6"/>
      <c r="S133" s="6"/>
      <c r="T133" s="6"/>
      <c r="U133" s="6"/>
      <c r="V133" s="6"/>
      <c r="W133" s="6"/>
      <c r="X133" s="6"/>
      <c r="Y133" s="6"/>
      <c r="Z133" s="6"/>
    </row>
    <row r="134" ht="15.75" customHeight="1">
      <c r="A134" s="6"/>
      <c r="B134" s="6"/>
      <c r="C134" s="53"/>
      <c r="D134" s="53"/>
      <c r="E134" s="53"/>
      <c r="F134" s="53"/>
      <c r="G134" s="53"/>
      <c r="H134" s="53"/>
      <c r="I134" s="6"/>
      <c r="J134" s="6"/>
      <c r="K134" s="54"/>
      <c r="L134" s="6"/>
      <c r="M134" s="6"/>
      <c r="N134" s="6"/>
      <c r="O134" s="6"/>
      <c r="P134" s="6"/>
      <c r="Q134" s="6"/>
      <c r="R134" s="6"/>
      <c r="S134" s="6"/>
      <c r="T134" s="6"/>
      <c r="U134" s="6"/>
      <c r="V134" s="6"/>
      <c r="W134" s="6"/>
      <c r="X134" s="6"/>
      <c r="Y134" s="6"/>
      <c r="Z134" s="6"/>
    </row>
    <row r="135" ht="15.75" customHeight="1">
      <c r="A135" s="6"/>
      <c r="B135" s="6"/>
      <c r="C135" s="53"/>
      <c r="D135" s="53"/>
      <c r="E135" s="53"/>
      <c r="F135" s="53"/>
      <c r="G135" s="53"/>
      <c r="H135" s="53"/>
      <c r="I135" s="6"/>
      <c r="J135" s="6"/>
      <c r="K135" s="54"/>
      <c r="L135" s="6"/>
      <c r="M135" s="6"/>
      <c r="N135" s="6"/>
      <c r="O135" s="6"/>
      <c r="P135" s="6"/>
      <c r="Q135" s="6"/>
      <c r="R135" s="6"/>
      <c r="S135" s="6"/>
      <c r="T135" s="6"/>
      <c r="U135" s="6"/>
      <c r="V135" s="6"/>
      <c r="W135" s="6"/>
      <c r="X135" s="6"/>
      <c r="Y135" s="6"/>
      <c r="Z135" s="6"/>
    </row>
    <row r="136" ht="15.75" customHeight="1">
      <c r="A136" s="6"/>
      <c r="B136" s="6"/>
      <c r="C136" s="53"/>
      <c r="D136" s="53"/>
      <c r="E136" s="53"/>
      <c r="F136" s="53"/>
      <c r="G136" s="53"/>
      <c r="H136" s="53"/>
      <c r="I136" s="6"/>
      <c r="J136" s="6"/>
      <c r="K136" s="54"/>
      <c r="L136" s="6"/>
      <c r="M136" s="6"/>
      <c r="N136" s="6"/>
      <c r="O136" s="6"/>
      <c r="P136" s="6"/>
      <c r="Q136" s="6"/>
      <c r="R136" s="6"/>
      <c r="S136" s="6"/>
      <c r="T136" s="6"/>
      <c r="U136" s="6"/>
      <c r="V136" s="6"/>
      <c r="W136" s="6"/>
      <c r="X136" s="6"/>
      <c r="Y136" s="6"/>
      <c r="Z136" s="6"/>
    </row>
    <row r="137" ht="15.75" customHeight="1">
      <c r="A137" s="6"/>
      <c r="B137" s="6"/>
      <c r="C137" s="53"/>
      <c r="D137" s="53"/>
      <c r="E137" s="53"/>
      <c r="F137" s="53"/>
      <c r="G137" s="53"/>
      <c r="H137" s="53"/>
      <c r="I137" s="6"/>
      <c r="J137" s="6"/>
      <c r="K137" s="54"/>
      <c r="L137" s="6"/>
      <c r="M137" s="6"/>
      <c r="N137" s="6"/>
      <c r="O137" s="6"/>
      <c r="P137" s="6"/>
      <c r="Q137" s="6"/>
      <c r="R137" s="6"/>
      <c r="S137" s="6"/>
      <c r="T137" s="6"/>
      <c r="U137" s="6"/>
      <c r="V137" s="6"/>
      <c r="W137" s="6"/>
      <c r="X137" s="6"/>
      <c r="Y137" s="6"/>
      <c r="Z137" s="6"/>
    </row>
    <row r="138" ht="15.75" customHeight="1">
      <c r="A138" s="6"/>
      <c r="B138" s="6"/>
      <c r="C138" s="53"/>
      <c r="D138" s="53"/>
      <c r="E138" s="53"/>
      <c r="F138" s="53"/>
      <c r="G138" s="53"/>
      <c r="H138" s="53"/>
      <c r="I138" s="6"/>
      <c r="J138" s="6"/>
      <c r="K138" s="54"/>
      <c r="L138" s="6"/>
      <c r="M138" s="6"/>
      <c r="N138" s="6"/>
      <c r="O138" s="6"/>
      <c r="P138" s="6"/>
      <c r="Q138" s="6"/>
      <c r="R138" s="6"/>
      <c r="S138" s="6"/>
      <c r="T138" s="6"/>
      <c r="U138" s="6"/>
      <c r="V138" s="6"/>
      <c r="W138" s="6"/>
      <c r="X138" s="6"/>
      <c r="Y138" s="6"/>
      <c r="Z138" s="6"/>
    </row>
    <row r="139" ht="15.75" customHeight="1">
      <c r="A139" s="6"/>
      <c r="B139" s="6"/>
      <c r="C139" s="53"/>
      <c r="D139" s="53"/>
      <c r="E139" s="53"/>
      <c r="F139" s="53"/>
      <c r="G139" s="53"/>
      <c r="H139" s="53"/>
      <c r="I139" s="6"/>
      <c r="J139" s="6"/>
      <c r="K139" s="54"/>
      <c r="L139" s="6"/>
      <c r="M139" s="6"/>
      <c r="N139" s="6"/>
      <c r="O139" s="6"/>
      <c r="P139" s="6"/>
      <c r="Q139" s="6"/>
      <c r="R139" s="6"/>
      <c r="S139" s="6"/>
      <c r="T139" s="6"/>
      <c r="U139" s="6"/>
      <c r="V139" s="6"/>
      <c r="W139" s="6"/>
      <c r="X139" s="6"/>
      <c r="Y139" s="6"/>
      <c r="Z139" s="6"/>
    </row>
    <row r="140" ht="15.75" customHeight="1">
      <c r="A140" s="6"/>
      <c r="B140" s="6"/>
      <c r="C140" s="53"/>
      <c r="D140" s="53"/>
      <c r="E140" s="53"/>
      <c r="F140" s="53"/>
      <c r="G140" s="53"/>
      <c r="H140" s="53"/>
      <c r="I140" s="6"/>
      <c r="J140" s="6"/>
      <c r="K140" s="54"/>
      <c r="L140" s="6"/>
      <c r="M140" s="6"/>
      <c r="N140" s="6"/>
      <c r="O140" s="6"/>
      <c r="P140" s="6"/>
      <c r="Q140" s="6"/>
      <c r="R140" s="6"/>
      <c r="S140" s="6"/>
      <c r="T140" s="6"/>
      <c r="U140" s="6"/>
      <c r="V140" s="6"/>
      <c r="W140" s="6"/>
      <c r="X140" s="6"/>
      <c r="Y140" s="6"/>
      <c r="Z140" s="6"/>
    </row>
    <row r="141" ht="15.75" customHeight="1">
      <c r="A141" s="6"/>
      <c r="B141" s="6"/>
      <c r="C141" s="53"/>
      <c r="D141" s="53"/>
      <c r="E141" s="53"/>
      <c r="F141" s="53"/>
      <c r="G141" s="53"/>
      <c r="H141" s="53"/>
      <c r="I141" s="6"/>
      <c r="J141" s="6"/>
      <c r="K141" s="54"/>
      <c r="L141" s="6"/>
      <c r="M141" s="6"/>
      <c r="N141" s="6"/>
      <c r="O141" s="6"/>
      <c r="P141" s="6"/>
      <c r="Q141" s="6"/>
      <c r="R141" s="6"/>
      <c r="S141" s="6"/>
      <c r="T141" s="6"/>
      <c r="U141" s="6"/>
      <c r="V141" s="6"/>
      <c r="W141" s="6"/>
      <c r="X141" s="6"/>
      <c r="Y141" s="6"/>
      <c r="Z141" s="6"/>
    </row>
    <row r="142" ht="15.75" customHeight="1">
      <c r="A142" s="6"/>
      <c r="B142" s="6"/>
      <c r="C142" s="53"/>
      <c r="D142" s="53"/>
      <c r="E142" s="53"/>
      <c r="F142" s="53"/>
      <c r="G142" s="53"/>
      <c r="H142" s="53"/>
      <c r="I142" s="6"/>
      <c r="J142" s="6"/>
      <c r="K142" s="54"/>
      <c r="L142" s="6"/>
      <c r="M142" s="6"/>
      <c r="N142" s="6"/>
      <c r="O142" s="6"/>
      <c r="P142" s="6"/>
      <c r="Q142" s="6"/>
      <c r="R142" s="6"/>
      <c r="S142" s="6"/>
      <c r="T142" s="6"/>
      <c r="U142" s="6"/>
      <c r="V142" s="6"/>
      <c r="W142" s="6"/>
      <c r="X142" s="6"/>
      <c r="Y142" s="6"/>
      <c r="Z142" s="6"/>
    </row>
    <row r="143" ht="15.75" customHeight="1">
      <c r="A143" s="6"/>
      <c r="B143" s="6"/>
      <c r="C143" s="53"/>
      <c r="D143" s="53"/>
      <c r="E143" s="53"/>
      <c r="F143" s="53"/>
      <c r="G143" s="53"/>
      <c r="H143" s="53"/>
      <c r="I143" s="6"/>
      <c r="J143" s="6"/>
      <c r="K143" s="54"/>
      <c r="L143" s="6"/>
      <c r="M143" s="6"/>
      <c r="N143" s="6"/>
      <c r="O143" s="6"/>
      <c r="P143" s="6"/>
      <c r="Q143" s="6"/>
      <c r="R143" s="6"/>
      <c r="S143" s="6"/>
      <c r="T143" s="6"/>
      <c r="U143" s="6"/>
      <c r="V143" s="6"/>
      <c r="W143" s="6"/>
      <c r="X143" s="6"/>
      <c r="Y143" s="6"/>
      <c r="Z143" s="6"/>
    </row>
    <row r="144" ht="15.75" customHeight="1">
      <c r="A144" s="6"/>
      <c r="B144" s="6"/>
      <c r="C144" s="53"/>
      <c r="D144" s="53"/>
      <c r="E144" s="53"/>
      <c r="F144" s="53"/>
      <c r="G144" s="53"/>
      <c r="H144" s="53"/>
      <c r="I144" s="6"/>
      <c r="J144" s="6"/>
      <c r="K144" s="54"/>
      <c r="L144" s="6"/>
      <c r="M144" s="6"/>
      <c r="N144" s="6"/>
      <c r="O144" s="6"/>
      <c r="P144" s="6"/>
      <c r="Q144" s="6"/>
      <c r="R144" s="6"/>
      <c r="S144" s="6"/>
      <c r="T144" s="6"/>
      <c r="U144" s="6"/>
      <c r="V144" s="6"/>
      <c r="W144" s="6"/>
      <c r="X144" s="6"/>
      <c r="Y144" s="6"/>
      <c r="Z144" s="6"/>
    </row>
    <row r="145" ht="15.75" customHeight="1">
      <c r="A145" s="6"/>
      <c r="B145" s="6"/>
      <c r="C145" s="53"/>
      <c r="D145" s="53"/>
      <c r="E145" s="53"/>
      <c r="F145" s="53"/>
      <c r="G145" s="53"/>
      <c r="H145" s="53"/>
      <c r="I145" s="6"/>
      <c r="J145" s="6"/>
      <c r="K145" s="54"/>
      <c r="L145" s="6"/>
      <c r="M145" s="6"/>
      <c r="N145" s="6"/>
      <c r="O145" s="6"/>
      <c r="P145" s="6"/>
      <c r="Q145" s="6"/>
      <c r="R145" s="6"/>
      <c r="S145" s="6"/>
      <c r="T145" s="6"/>
      <c r="U145" s="6"/>
      <c r="V145" s="6"/>
      <c r="W145" s="6"/>
      <c r="X145" s="6"/>
      <c r="Y145" s="6"/>
      <c r="Z145" s="6"/>
    </row>
    <row r="146" ht="15.75" customHeight="1">
      <c r="A146" s="6"/>
      <c r="B146" s="6"/>
      <c r="C146" s="53"/>
      <c r="D146" s="53"/>
      <c r="E146" s="53"/>
      <c r="F146" s="53"/>
      <c r="G146" s="53"/>
      <c r="H146" s="53"/>
      <c r="I146" s="6"/>
      <c r="J146" s="6"/>
      <c r="K146" s="54"/>
      <c r="L146" s="6"/>
      <c r="M146" s="6"/>
      <c r="N146" s="6"/>
      <c r="O146" s="6"/>
      <c r="P146" s="6"/>
      <c r="Q146" s="6"/>
      <c r="R146" s="6"/>
      <c r="S146" s="6"/>
      <c r="T146" s="6"/>
      <c r="U146" s="6"/>
      <c r="V146" s="6"/>
      <c r="W146" s="6"/>
      <c r="X146" s="6"/>
      <c r="Y146" s="6"/>
      <c r="Z146" s="6"/>
    </row>
    <row r="147" ht="15.75" customHeight="1">
      <c r="A147" s="6"/>
      <c r="B147" s="6"/>
      <c r="C147" s="53"/>
      <c r="D147" s="53"/>
      <c r="E147" s="53"/>
      <c r="F147" s="53"/>
      <c r="G147" s="53"/>
      <c r="H147" s="53"/>
      <c r="I147" s="6"/>
      <c r="J147" s="6"/>
      <c r="K147" s="54"/>
      <c r="L147" s="6"/>
      <c r="M147" s="6"/>
      <c r="N147" s="6"/>
      <c r="O147" s="6"/>
      <c r="P147" s="6"/>
      <c r="Q147" s="6"/>
      <c r="R147" s="6"/>
      <c r="S147" s="6"/>
      <c r="T147" s="6"/>
      <c r="U147" s="6"/>
      <c r="V147" s="6"/>
      <c r="W147" s="6"/>
      <c r="X147" s="6"/>
      <c r="Y147" s="6"/>
      <c r="Z147" s="6"/>
    </row>
    <row r="148" ht="15.75" customHeight="1">
      <c r="A148" s="6"/>
      <c r="B148" s="6"/>
      <c r="C148" s="53"/>
      <c r="D148" s="53"/>
      <c r="E148" s="53"/>
      <c r="F148" s="53"/>
      <c r="G148" s="53"/>
      <c r="H148" s="53"/>
      <c r="I148" s="6"/>
      <c r="J148" s="6"/>
      <c r="K148" s="54"/>
      <c r="L148" s="6"/>
      <c r="M148" s="6"/>
      <c r="N148" s="6"/>
      <c r="O148" s="6"/>
      <c r="P148" s="6"/>
      <c r="Q148" s="6"/>
      <c r="R148" s="6"/>
      <c r="S148" s="6"/>
      <c r="T148" s="6"/>
      <c r="U148" s="6"/>
      <c r="V148" s="6"/>
      <c r="W148" s="6"/>
      <c r="X148" s="6"/>
      <c r="Y148" s="6"/>
      <c r="Z148" s="6"/>
    </row>
    <row r="149" ht="15.75" customHeight="1">
      <c r="A149" s="6"/>
      <c r="B149" s="6"/>
      <c r="C149" s="53"/>
      <c r="D149" s="53"/>
      <c r="E149" s="53"/>
      <c r="F149" s="53"/>
      <c r="G149" s="53"/>
      <c r="H149" s="53"/>
      <c r="I149" s="6"/>
      <c r="J149" s="6"/>
      <c r="K149" s="54"/>
      <c r="L149" s="6"/>
      <c r="M149" s="6"/>
      <c r="N149" s="6"/>
      <c r="O149" s="6"/>
      <c r="P149" s="6"/>
      <c r="Q149" s="6"/>
      <c r="R149" s="6"/>
      <c r="S149" s="6"/>
      <c r="T149" s="6"/>
      <c r="U149" s="6"/>
      <c r="V149" s="6"/>
      <c r="W149" s="6"/>
      <c r="X149" s="6"/>
      <c r="Y149" s="6"/>
      <c r="Z149" s="6"/>
    </row>
    <row r="150" ht="15.75" customHeight="1">
      <c r="A150" s="6"/>
      <c r="B150" s="6"/>
      <c r="C150" s="53"/>
      <c r="D150" s="53"/>
      <c r="E150" s="53"/>
      <c r="F150" s="53"/>
      <c r="G150" s="53"/>
      <c r="H150" s="53"/>
      <c r="I150" s="6"/>
      <c r="J150" s="6"/>
      <c r="K150" s="54"/>
      <c r="L150" s="6"/>
      <c r="M150" s="6"/>
      <c r="N150" s="6"/>
      <c r="O150" s="6"/>
      <c r="P150" s="6"/>
      <c r="Q150" s="6"/>
      <c r="R150" s="6"/>
      <c r="S150" s="6"/>
      <c r="T150" s="6"/>
      <c r="U150" s="6"/>
      <c r="V150" s="6"/>
      <c r="W150" s="6"/>
      <c r="X150" s="6"/>
      <c r="Y150" s="6"/>
      <c r="Z150" s="6"/>
    </row>
    <row r="151" ht="15.75" customHeight="1">
      <c r="A151" s="6"/>
      <c r="B151" s="6"/>
      <c r="C151" s="53"/>
      <c r="D151" s="53"/>
      <c r="E151" s="53"/>
      <c r="F151" s="53"/>
      <c r="G151" s="53"/>
      <c r="H151" s="53"/>
      <c r="I151" s="6"/>
      <c r="J151" s="6"/>
      <c r="K151" s="54"/>
      <c r="L151" s="6"/>
      <c r="M151" s="6"/>
      <c r="N151" s="6"/>
      <c r="O151" s="6"/>
      <c r="P151" s="6"/>
      <c r="Q151" s="6"/>
      <c r="R151" s="6"/>
      <c r="S151" s="6"/>
      <c r="T151" s="6"/>
      <c r="U151" s="6"/>
      <c r="V151" s="6"/>
      <c r="W151" s="6"/>
      <c r="X151" s="6"/>
      <c r="Y151" s="6"/>
      <c r="Z151" s="6"/>
    </row>
    <row r="152" ht="15.75" customHeight="1">
      <c r="A152" s="6"/>
      <c r="B152" s="6"/>
      <c r="C152" s="53"/>
      <c r="D152" s="53"/>
      <c r="E152" s="53"/>
      <c r="F152" s="53"/>
      <c r="G152" s="53"/>
      <c r="H152" s="53"/>
      <c r="I152" s="6"/>
      <c r="J152" s="6"/>
      <c r="K152" s="54"/>
      <c r="L152" s="6"/>
      <c r="M152" s="6"/>
      <c r="N152" s="6"/>
      <c r="O152" s="6"/>
      <c r="P152" s="6"/>
      <c r="Q152" s="6"/>
      <c r="R152" s="6"/>
      <c r="S152" s="6"/>
      <c r="T152" s="6"/>
      <c r="U152" s="6"/>
      <c r="V152" s="6"/>
      <c r="W152" s="6"/>
      <c r="X152" s="6"/>
      <c r="Y152" s="6"/>
      <c r="Z152" s="6"/>
    </row>
    <row r="153" ht="15.75" customHeight="1">
      <c r="A153" s="6"/>
      <c r="B153" s="6"/>
      <c r="C153" s="53"/>
      <c r="D153" s="53"/>
      <c r="E153" s="53"/>
      <c r="F153" s="53"/>
      <c r="G153" s="53"/>
      <c r="H153" s="53"/>
      <c r="I153" s="6"/>
      <c r="J153" s="6"/>
      <c r="K153" s="54"/>
      <c r="L153" s="6"/>
      <c r="M153" s="6"/>
      <c r="N153" s="6"/>
      <c r="O153" s="6"/>
      <c r="P153" s="6"/>
      <c r="Q153" s="6"/>
      <c r="R153" s="6"/>
      <c r="S153" s="6"/>
      <c r="T153" s="6"/>
      <c r="U153" s="6"/>
      <c r="V153" s="6"/>
      <c r="W153" s="6"/>
      <c r="X153" s="6"/>
      <c r="Y153" s="6"/>
      <c r="Z153" s="6"/>
    </row>
    <row r="154" ht="15.75" customHeight="1">
      <c r="A154" s="6"/>
      <c r="B154" s="6"/>
      <c r="C154" s="53"/>
      <c r="D154" s="53"/>
      <c r="E154" s="53"/>
      <c r="F154" s="53"/>
      <c r="G154" s="53"/>
      <c r="H154" s="53"/>
      <c r="I154" s="6"/>
      <c r="J154" s="6"/>
      <c r="K154" s="54"/>
      <c r="L154" s="6"/>
      <c r="M154" s="6"/>
      <c r="N154" s="6"/>
      <c r="O154" s="6"/>
      <c r="P154" s="6"/>
      <c r="Q154" s="6"/>
      <c r="R154" s="6"/>
      <c r="S154" s="6"/>
      <c r="T154" s="6"/>
      <c r="U154" s="6"/>
      <c r="V154" s="6"/>
      <c r="W154" s="6"/>
      <c r="X154" s="6"/>
      <c r="Y154" s="6"/>
      <c r="Z154" s="6"/>
    </row>
    <row r="155" ht="15.75" customHeight="1">
      <c r="A155" s="6"/>
      <c r="B155" s="6"/>
      <c r="C155" s="53"/>
      <c r="D155" s="53"/>
      <c r="E155" s="53"/>
      <c r="F155" s="53"/>
      <c r="G155" s="53"/>
      <c r="H155" s="53"/>
      <c r="I155" s="6"/>
      <c r="J155" s="6"/>
      <c r="K155" s="54"/>
      <c r="L155" s="6"/>
      <c r="M155" s="6"/>
      <c r="N155" s="6"/>
      <c r="O155" s="6"/>
      <c r="P155" s="6"/>
      <c r="Q155" s="6"/>
      <c r="R155" s="6"/>
      <c r="S155" s="6"/>
      <c r="T155" s="6"/>
      <c r="U155" s="6"/>
      <c r="V155" s="6"/>
      <c r="W155" s="6"/>
      <c r="X155" s="6"/>
      <c r="Y155" s="6"/>
      <c r="Z155" s="6"/>
    </row>
    <row r="156" ht="15.75" customHeight="1">
      <c r="A156" s="6"/>
      <c r="B156" s="6"/>
      <c r="C156" s="53"/>
      <c r="D156" s="53"/>
      <c r="E156" s="53"/>
      <c r="F156" s="53"/>
      <c r="G156" s="53"/>
      <c r="H156" s="53"/>
      <c r="I156" s="6"/>
      <c r="J156" s="6"/>
      <c r="K156" s="54"/>
      <c r="L156" s="6"/>
      <c r="M156" s="6"/>
      <c r="N156" s="6"/>
      <c r="O156" s="6"/>
      <c r="P156" s="6"/>
      <c r="Q156" s="6"/>
      <c r="R156" s="6"/>
      <c r="S156" s="6"/>
      <c r="T156" s="6"/>
      <c r="U156" s="6"/>
      <c r="V156" s="6"/>
      <c r="W156" s="6"/>
      <c r="X156" s="6"/>
      <c r="Y156" s="6"/>
      <c r="Z156" s="6"/>
    </row>
    <row r="157" ht="15.75" customHeight="1">
      <c r="A157" s="6"/>
      <c r="B157" s="6"/>
      <c r="C157" s="53"/>
      <c r="D157" s="53"/>
      <c r="E157" s="53"/>
      <c r="F157" s="53"/>
      <c r="G157" s="53"/>
      <c r="H157" s="53"/>
      <c r="I157" s="6"/>
      <c r="J157" s="6"/>
      <c r="K157" s="54"/>
      <c r="L157" s="6"/>
      <c r="M157" s="6"/>
      <c r="N157" s="6"/>
      <c r="O157" s="6"/>
      <c r="P157" s="6"/>
      <c r="Q157" s="6"/>
      <c r="R157" s="6"/>
      <c r="S157" s="6"/>
      <c r="T157" s="6"/>
      <c r="U157" s="6"/>
      <c r="V157" s="6"/>
      <c r="W157" s="6"/>
      <c r="X157" s="6"/>
      <c r="Y157" s="6"/>
      <c r="Z157" s="6"/>
    </row>
    <row r="158" ht="15.75" customHeight="1">
      <c r="A158" s="6"/>
      <c r="B158" s="6"/>
      <c r="C158" s="53"/>
      <c r="D158" s="53"/>
      <c r="E158" s="53"/>
      <c r="F158" s="53"/>
      <c r="G158" s="53"/>
      <c r="H158" s="53"/>
      <c r="I158" s="6"/>
      <c r="J158" s="6"/>
      <c r="K158" s="54"/>
      <c r="L158" s="6"/>
      <c r="M158" s="6"/>
      <c r="N158" s="6"/>
      <c r="O158" s="6"/>
      <c r="P158" s="6"/>
      <c r="Q158" s="6"/>
      <c r="R158" s="6"/>
      <c r="S158" s="6"/>
      <c r="T158" s="6"/>
      <c r="U158" s="6"/>
      <c r="V158" s="6"/>
      <c r="W158" s="6"/>
      <c r="X158" s="6"/>
      <c r="Y158" s="6"/>
      <c r="Z158" s="6"/>
    </row>
    <row r="159" ht="15.75" customHeight="1">
      <c r="A159" s="6"/>
      <c r="B159" s="6"/>
      <c r="C159" s="53"/>
      <c r="D159" s="53"/>
      <c r="E159" s="53"/>
      <c r="F159" s="53"/>
      <c r="G159" s="53"/>
      <c r="H159" s="53"/>
      <c r="I159" s="6"/>
      <c r="J159" s="6"/>
      <c r="K159" s="54"/>
      <c r="L159" s="6"/>
      <c r="M159" s="6"/>
      <c r="N159" s="6"/>
      <c r="O159" s="6"/>
      <c r="P159" s="6"/>
      <c r="Q159" s="6"/>
      <c r="R159" s="6"/>
      <c r="S159" s="6"/>
      <c r="T159" s="6"/>
      <c r="U159" s="6"/>
      <c r="V159" s="6"/>
      <c r="W159" s="6"/>
      <c r="X159" s="6"/>
      <c r="Y159" s="6"/>
      <c r="Z159" s="6"/>
    </row>
    <row r="160" ht="15.75" customHeight="1">
      <c r="A160" s="6"/>
      <c r="B160" s="6"/>
      <c r="C160" s="53"/>
      <c r="D160" s="53"/>
      <c r="E160" s="53"/>
      <c r="F160" s="53"/>
      <c r="G160" s="53"/>
      <c r="H160" s="53"/>
      <c r="I160" s="6"/>
      <c r="J160" s="6"/>
      <c r="K160" s="54"/>
      <c r="L160" s="6"/>
      <c r="M160" s="6"/>
      <c r="N160" s="6"/>
      <c r="O160" s="6"/>
      <c r="P160" s="6"/>
      <c r="Q160" s="6"/>
      <c r="R160" s="6"/>
      <c r="S160" s="6"/>
      <c r="T160" s="6"/>
      <c r="U160" s="6"/>
      <c r="V160" s="6"/>
      <c r="W160" s="6"/>
      <c r="X160" s="6"/>
      <c r="Y160" s="6"/>
      <c r="Z160" s="6"/>
    </row>
    <row r="161" ht="15.75" customHeight="1">
      <c r="A161" s="6"/>
      <c r="B161" s="6"/>
      <c r="C161" s="53"/>
      <c r="D161" s="53"/>
      <c r="E161" s="53"/>
      <c r="F161" s="53"/>
      <c r="G161" s="53"/>
      <c r="H161" s="53"/>
      <c r="I161" s="6"/>
      <c r="J161" s="6"/>
      <c r="K161" s="54"/>
      <c r="L161" s="6"/>
      <c r="M161" s="6"/>
      <c r="N161" s="6"/>
      <c r="O161" s="6"/>
      <c r="P161" s="6"/>
      <c r="Q161" s="6"/>
      <c r="R161" s="6"/>
      <c r="S161" s="6"/>
      <c r="T161" s="6"/>
      <c r="U161" s="6"/>
      <c r="V161" s="6"/>
      <c r="W161" s="6"/>
      <c r="X161" s="6"/>
      <c r="Y161" s="6"/>
      <c r="Z161" s="6"/>
    </row>
    <row r="162" ht="15.75" customHeight="1">
      <c r="A162" s="6"/>
      <c r="B162" s="6"/>
      <c r="C162" s="53"/>
      <c r="D162" s="53"/>
      <c r="E162" s="53"/>
      <c r="F162" s="53"/>
      <c r="G162" s="53"/>
      <c r="H162" s="53"/>
      <c r="I162" s="6"/>
      <c r="J162" s="6"/>
      <c r="K162" s="54"/>
      <c r="L162" s="6"/>
      <c r="M162" s="6"/>
      <c r="N162" s="6"/>
      <c r="O162" s="6"/>
      <c r="P162" s="6"/>
      <c r="Q162" s="6"/>
      <c r="R162" s="6"/>
      <c r="S162" s="6"/>
      <c r="T162" s="6"/>
      <c r="U162" s="6"/>
      <c r="V162" s="6"/>
      <c r="W162" s="6"/>
      <c r="X162" s="6"/>
      <c r="Y162" s="6"/>
      <c r="Z162" s="6"/>
    </row>
    <row r="163" ht="15.75" customHeight="1">
      <c r="A163" s="6"/>
      <c r="B163" s="6"/>
      <c r="C163" s="53"/>
      <c r="D163" s="53"/>
      <c r="E163" s="53"/>
      <c r="F163" s="53"/>
      <c r="G163" s="53"/>
      <c r="H163" s="53"/>
      <c r="I163" s="6"/>
      <c r="J163" s="6"/>
      <c r="K163" s="54"/>
      <c r="L163" s="6"/>
      <c r="M163" s="6"/>
      <c r="N163" s="6"/>
      <c r="O163" s="6"/>
      <c r="P163" s="6"/>
      <c r="Q163" s="6"/>
      <c r="R163" s="6"/>
      <c r="S163" s="6"/>
      <c r="T163" s="6"/>
      <c r="U163" s="6"/>
      <c r="V163" s="6"/>
      <c r="W163" s="6"/>
      <c r="X163" s="6"/>
      <c r="Y163" s="6"/>
      <c r="Z163" s="6"/>
    </row>
    <row r="164" ht="15.75" customHeight="1">
      <c r="A164" s="6"/>
      <c r="B164" s="6"/>
      <c r="C164" s="53"/>
      <c r="D164" s="53"/>
      <c r="E164" s="53"/>
      <c r="F164" s="53"/>
      <c r="G164" s="53"/>
      <c r="H164" s="53"/>
      <c r="I164" s="6"/>
      <c r="J164" s="6"/>
      <c r="K164" s="54"/>
      <c r="L164" s="6"/>
      <c r="M164" s="6"/>
      <c r="N164" s="6"/>
      <c r="O164" s="6"/>
      <c r="P164" s="6"/>
      <c r="Q164" s="6"/>
      <c r="R164" s="6"/>
      <c r="S164" s="6"/>
      <c r="T164" s="6"/>
      <c r="U164" s="6"/>
      <c r="V164" s="6"/>
      <c r="W164" s="6"/>
      <c r="X164" s="6"/>
      <c r="Y164" s="6"/>
      <c r="Z164" s="6"/>
    </row>
    <row r="165" ht="15.75" customHeight="1">
      <c r="A165" s="6"/>
      <c r="B165" s="6"/>
      <c r="C165" s="53"/>
      <c r="D165" s="53"/>
      <c r="E165" s="53"/>
      <c r="F165" s="53"/>
      <c r="G165" s="53"/>
      <c r="H165" s="53"/>
      <c r="I165" s="6"/>
      <c r="J165" s="6"/>
      <c r="K165" s="54"/>
      <c r="L165" s="6"/>
      <c r="M165" s="6"/>
      <c r="N165" s="6"/>
      <c r="O165" s="6"/>
      <c r="P165" s="6"/>
      <c r="Q165" s="6"/>
      <c r="R165" s="6"/>
      <c r="S165" s="6"/>
      <c r="T165" s="6"/>
      <c r="U165" s="6"/>
      <c r="V165" s="6"/>
      <c r="W165" s="6"/>
      <c r="X165" s="6"/>
      <c r="Y165" s="6"/>
      <c r="Z165" s="6"/>
    </row>
    <row r="166" ht="15.75" customHeight="1">
      <c r="A166" s="6"/>
      <c r="B166" s="6"/>
      <c r="C166" s="53"/>
      <c r="D166" s="53"/>
      <c r="E166" s="53"/>
      <c r="F166" s="53"/>
      <c r="G166" s="53"/>
      <c r="H166" s="53"/>
      <c r="I166" s="6"/>
      <c r="J166" s="6"/>
      <c r="K166" s="54"/>
      <c r="L166" s="6"/>
      <c r="M166" s="6"/>
      <c r="N166" s="6"/>
      <c r="O166" s="6"/>
      <c r="P166" s="6"/>
      <c r="Q166" s="6"/>
      <c r="R166" s="6"/>
      <c r="S166" s="6"/>
      <c r="T166" s="6"/>
      <c r="U166" s="6"/>
      <c r="V166" s="6"/>
      <c r="W166" s="6"/>
      <c r="X166" s="6"/>
      <c r="Y166" s="6"/>
      <c r="Z166" s="6"/>
    </row>
    <row r="167" ht="15.75" customHeight="1">
      <c r="A167" s="6"/>
      <c r="B167" s="6"/>
      <c r="C167" s="53"/>
      <c r="D167" s="53"/>
      <c r="E167" s="53"/>
      <c r="F167" s="53"/>
      <c r="G167" s="53"/>
      <c r="H167" s="53"/>
      <c r="I167" s="6"/>
      <c r="J167" s="6"/>
      <c r="K167" s="54"/>
      <c r="L167" s="6"/>
      <c r="M167" s="6"/>
      <c r="N167" s="6"/>
      <c r="O167" s="6"/>
      <c r="P167" s="6"/>
      <c r="Q167" s="6"/>
      <c r="R167" s="6"/>
      <c r="S167" s="6"/>
      <c r="T167" s="6"/>
      <c r="U167" s="6"/>
      <c r="V167" s="6"/>
      <c r="W167" s="6"/>
      <c r="X167" s="6"/>
      <c r="Y167" s="6"/>
      <c r="Z167" s="6"/>
    </row>
    <row r="168" ht="15.75" customHeight="1">
      <c r="A168" s="6"/>
      <c r="B168" s="6"/>
      <c r="C168" s="53"/>
      <c r="D168" s="53"/>
      <c r="E168" s="53"/>
      <c r="F168" s="53"/>
      <c r="G168" s="53"/>
      <c r="H168" s="53"/>
      <c r="I168" s="6"/>
      <c r="J168" s="6"/>
      <c r="K168" s="54"/>
      <c r="L168" s="6"/>
      <c r="M168" s="6"/>
      <c r="N168" s="6"/>
      <c r="O168" s="6"/>
      <c r="P168" s="6"/>
      <c r="Q168" s="6"/>
      <c r="R168" s="6"/>
      <c r="S168" s="6"/>
      <c r="T168" s="6"/>
      <c r="U168" s="6"/>
      <c r="V168" s="6"/>
      <c r="W168" s="6"/>
      <c r="X168" s="6"/>
      <c r="Y168" s="6"/>
      <c r="Z168" s="6"/>
    </row>
    <row r="169" ht="15.75" customHeight="1">
      <c r="A169" s="6"/>
      <c r="B169" s="6"/>
      <c r="C169" s="53"/>
      <c r="D169" s="53"/>
      <c r="E169" s="53"/>
      <c r="F169" s="53"/>
      <c r="G169" s="53"/>
      <c r="H169" s="53"/>
      <c r="I169" s="6"/>
      <c r="J169" s="6"/>
      <c r="K169" s="54"/>
      <c r="L169" s="6"/>
      <c r="M169" s="6"/>
      <c r="N169" s="6"/>
      <c r="O169" s="6"/>
      <c r="P169" s="6"/>
      <c r="Q169" s="6"/>
      <c r="R169" s="6"/>
      <c r="S169" s="6"/>
      <c r="T169" s="6"/>
      <c r="U169" s="6"/>
      <c r="V169" s="6"/>
      <c r="W169" s="6"/>
      <c r="X169" s="6"/>
      <c r="Y169" s="6"/>
      <c r="Z169" s="6"/>
    </row>
    <row r="170" ht="15.75" customHeight="1">
      <c r="A170" s="6"/>
      <c r="B170" s="6"/>
      <c r="C170" s="53"/>
      <c r="D170" s="53"/>
      <c r="E170" s="53"/>
      <c r="F170" s="53"/>
      <c r="G170" s="53"/>
      <c r="H170" s="53"/>
      <c r="I170" s="6"/>
      <c r="J170" s="6"/>
      <c r="K170" s="54"/>
      <c r="L170" s="6"/>
      <c r="M170" s="6"/>
      <c r="N170" s="6"/>
      <c r="O170" s="6"/>
      <c r="P170" s="6"/>
      <c r="Q170" s="6"/>
      <c r="R170" s="6"/>
      <c r="S170" s="6"/>
      <c r="T170" s="6"/>
      <c r="U170" s="6"/>
      <c r="V170" s="6"/>
      <c r="W170" s="6"/>
      <c r="X170" s="6"/>
      <c r="Y170" s="6"/>
      <c r="Z170" s="6"/>
    </row>
    <row r="171" ht="15.75" customHeight="1">
      <c r="A171" s="6"/>
      <c r="B171" s="6"/>
      <c r="C171" s="53"/>
      <c r="D171" s="53"/>
      <c r="E171" s="53"/>
      <c r="F171" s="53"/>
      <c r="G171" s="53"/>
      <c r="H171" s="53"/>
      <c r="I171" s="6"/>
      <c r="J171" s="6"/>
      <c r="K171" s="54"/>
      <c r="L171" s="6"/>
      <c r="M171" s="6"/>
      <c r="N171" s="6"/>
      <c r="O171" s="6"/>
      <c r="P171" s="6"/>
      <c r="Q171" s="6"/>
      <c r="R171" s="6"/>
      <c r="S171" s="6"/>
      <c r="T171" s="6"/>
      <c r="U171" s="6"/>
      <c r="V171" s="6"/>
      <c r="W171" s="6"/>
      <c r="X171" s="6"/>
      <c r="Y171" s="6"/>
      <c r="Z171" s="6"/>
    </row>
    <row r="172" ht="15.75" customHeight="1">
      <c r="A172" s="6"/>
      <c r="B172" s="6"/>
      <c r="C172" s="53"/>
      <c r="D172" s="53"/>
      <c r="E172" s="53"/>
      <c r="F172" s="53"/>
      <c r="G172" s="53"/>
      <c r="H172" s="53"/>
      <c r="I172" s="6"/>
      <c r="J172" s="6"/>
      <c r="K172" s="54"/>
      <c r="L172" s="6"/>
      <c r="M172" s="6"/>
      <c r="N172" s="6"/>
      <c r="O172" s="6"/>
      <c r="P172" s="6"/>
      <c r="Q172" s="6"/>
      <c r="R172" s="6"/>
      <c r="S172" s="6"/>
      <c r="T172" s="6"/>
      <c r="U172" s="6"/>
      <c r="V172" s="6"/>
      <c r="W172" s="6"/>
      <c r="X172" s="6"/>
      <c r="Y172" s="6"/>
      <c r="Z172" s="6"/>
    </row>
    <row r="173" ht="15.75" customHeight="1">
      <c r="A173" s="6"/>
      <c r="B173" s="6"/>
      <c r="C173" s="53"/>
      <c r="D173" s="53"/>
      <c r="E173" s="53"/>
      <c r="F173" s="53"/>
      <c r="G173" s="53"/>
      <c r="H173" s="53"/>
      <c r="I173" s="6"/>
      <c r="J173" s="6"/>
      <c r="K173" s="54"/>
      <c r="L173" s="6"/>
      <c r="M173" s="6"/>
      <c r="N173" s="6"/>
      <c r="O173" s="6"/>
      <c r="P173" s="6"/>
      <c r="Q173" s="6"/>
      <c r="R173" s="6"/>
      <c r="S173" s="6"/>
      <c r="T173" s="6"/>
      <c r="U173" s="6"/>
      <c r="V173" s="6"/>
      <c r="W173" s="6"/>
      <c r="X173" s="6"/>
      <c r="Y173" s="6"/>
      <c r="Z173" s="6"/>
    </row>
    <row r="174" ht="15.75" customHeight="1">
      <c r="A174" s="6"/>
      <c r="B174" s="6"/>
      <c r="C174" s="53"/>
      <c r="D174" s="53"/>
      <c r="E174" s="53"/>
      <c r="F174" s="53"/>
      <c r="G174" s="53"/>
      <c r="H174" s="53"/>
      <c r="I174" s="6"/>
      <c r="J174" s="6"/>
      <c r="K174" s="54"/>
      <c r="L174" s="6"/>
      <c r="M174" s="6"/>
      <c r="N174" s="6"/>
      <c r="O174" s="6"/>
      <c r="P174" s="6"/>
      <c r="Q174" s="6"/>
      <c r="R174" s="6"/>
      <c r="S174" s="6"/>
      <c r="T174" s="6"/>
      <c r="U174" s="6"/>
      <c r="V174" s="6"/>
      <c r="W174" s="6"/>
      <c r="X174" s="6"/>
      <c r="Y174" s="6"/>
      <c r="Z174" s="6"/>
    </row>
    <row r="175" ht="15.75" customHeight="1">
      <c r="A175" s="6"/>
      <c r="B175" s="6"/>
      <c r="C175" s="53"/>
      <c r="D175" s="53"/>
      <c r="E175" s="53"/>
      <c r="F175" s="53"/>
      <c r="G175" s="53"/>
      <c r="H175" s="53"/>
      <c r="I175" s="6"/>
      <c r="J175" s="6"/>
      <c r="K175" s="54"/>
      <c r="L175" s="6"/>
      <c r="M175" s="6"/>
      <c r="N175" s="6"/>
      <c r="O175" s="6"/>
      <c r="P175" s="6"/>
      <c r="Q175" s="6"/>
      <c r="R175" s="6"/>
      <c r="S175" s="6"/>
      <c r="T175" s="6"/>
      <c r="U175" s="6"/>
      <c r="V175" s="6"/>
      <c r="W175" s="6"/>
      <c r="X175" s="6"/>
      <c r="Y175" s="6"/>
      <c r="Z175" s="6"/>
    </row>
    <row r="176" ht="15.75" customHeight="1">
      <c r="A176" s="6"/>
      <c r="B176" s="6"/>
      <c r="C176" s="53"/>
      <c r="D176" s="53"/>
      <c r="E176" s="53"/>
      <c r="F176" s="53"/>
      <c r="G176" s="53"/>
      <c r="H176" s="53"/>
      <c r="I176" s="6"/>
      <c r="J176" s="6"/>
      <c r="K176" s="54"/>
      <c r="L176" s="6"/>
      <c r="M176" s="6"/>
      <c r="N176" s="6"/>
      <c r="O176" s="6"/>
      <c r="P176" s="6"/>
      <c r="Q176" s="6"/>
      <c r="R176" s="6"/>
      <c r="S176" s="6"/>
      <c r="T176" s="6"/>
      <c r="U176" s="6"/>
      <c r="V176" s="6"/>
      <c r="W176" s="6"/>
      <c r="X176" s="6"/>
      <c r="Y176" s="6"/>
      <c r="Z176" s="6"/>
    </row>
    <row r="177" ht="15.75" customHeight="1">
      <c r="A177" s="6"/>
      <c r="B177" s="6"/>
      <c r="C177" s="53"/>
      <c r="D177" s="53"/>
      <c r="E177" s="53"/>
      <c r="F177" s="53"/>
      <c r="G177" s="53"/>
      <c r="H177" s="53"/>
      <c r="I177" s="6"/>
      <c r="J177" s="6"/>
      <c r="K177" s="54"/>
      <c r="L177" s="6"/>
      <c r="M177" s="6"/>
      <c r="N177" s="6"/>
      <c r="O177" s="6"/>
      <c r="P177" s="6"/>
      <c r="Q177" s="6"/>
      <c r="R177" s="6"/>
      <c r="S177" s="6"/>
      <c r="T177" s="6"/>
      <c r="U177" s="6"/>
      <c r="V177" s="6"/>
      <c r="W177" s="6"/>
      <c r="X177" s="6"/>
      <c r="Y177" s="6"/>
      <c r="Z177" s="6"/>
    </row>
    <row r="178" ht="15.75" customHeight="1">
      <c r="A178" s="6"/>
      <c r="B178" s="6"/>
      <c r="C178" s="53"/>
      <c r="D178" s="53"/>
      <c r="E178" s="53"/>
      <c r="F178" s="53"/>
      <c r="G178" s="53"/>
      <c r="H178" s="53"/>
      <c r="I178" s="6"/>
      <c r="J178" s="6"/>
      <c r="K178" s="54"/>
      <c r="L178" s="6"/>
      <c r="M178" s="6"/>
      <c r="N178" s="6"/>
      <c r="O178" s="6"/>
      <c r="P178" s="6"/>
      <c r="Q178" s="6"/>
      <c r="R178" s="6"/>
      <c r="S178" s="6"/>
      <c r="T178" s="6"/>
      <c r="U178" s="6"/>
      <c r="V178" s="6"/>
      <c r="W178" s="6"/>
      <c r="X178" s="6"/>
      <c r="Y178" s="6"/>
      <c r="Z178" s="6"/>
    </row>
    <row r="179" ht="15.75" customHeight="1">
      <c r="A179" s="6"/>
      <c r="B179" s="6"/>
      <c r="C179" s="53"/>
      <c r="D179" s="53"/>
      <c r="E179" s="53"/>
      <c r="F179" s="53"/>
      <c r="G179" s="53"/>
      <c r="H179" s="53"/>
      <c r="I179" s="6"/>
      <c r="J179" s="6"/>
      <c r="K179" s="54"/>
      <c r="L179" s="6"/>
      <c r="M179" s="6"/>
      <c r="N179" s="6"/>
      <c r="O179" s="6"/>
      <c r="P179" s="6"/>
      <c r="Q179" s="6"/>
      <c r="R179" s="6"/>
      <c r="S179" s="6"/>
      <c r="T179" s="6"/>
      <c r="U179" s="6"/>
      <c r="V179" s="6"/>
      <c r="W179" s="6"/>
      <c r="X179" s="6"/>
      <c r="Y179" s="6"/>
      <c r="Z179" s="6"/>
    </row>
    <row r="180" ht="15.75" customHeight="1">
      <c r="A180" s="6"/>
      <c r="B180" s="6"/>
      <c r="C180" s="53"/>
      <c r="D180" s="53"/>
      <c r="E180" s="53"/>
      <c r="F180" s="53"/>
      <c r="G180" s="53"/>
      <c r="H180" s="53"/>
      <c r="I180" s="6"/>
      <c r="J180" s="6"/>
      <c r="K180" s="54"/>
      <c r="L180" s="6"/>
      <c r="M180" s="6"/>
      <c r="N180" s="6"/>
      <c r="O180" s="6"/>
      <c r="P180" s="6"/>
      <c r="Q180" s="6"/>
      <c r="R180" s="6"/>
      <c r="S180" s="6"/>
      <c r="T180" s="6"/>
      <c r="U180" s="6"/>
      <c r="V180" s="6"/>
      <c r="W180" s="6"/>
      <c r="X180" s="6"/>
      <c r="Y180" s="6"/>
      <c r="Z180" s="6"/>
    </row>
    <row r="181" ht="15.75" customHeight="1">
      <c r="A181" s="6"/>
      <c r="B181" s="6"/>
      <c r="C181" s="53"/>
      <c r="D181" s="53"/>
      <c r="E181" s="53"/>
      <c r="F181" s="53"/>
      <c r="G181" s="53"/>
      <c r="H181" s="53"/>
      <c r="I181" s="6"/>
      <c r="J181" s="6"/>
      <c r="K181" s="54"/>
      <c r="L181" s="6"/>
      <c r="M181" s="6"/>
      <c r="N181" s="6"/>
      <c r="O181" s="6"/>
      <c r="P181" s="6"/>
      <c r="Q181" s="6"/>
      <c r="R181" s="6"/>
      <c r="S181" s="6"/>
      <c r="T181" s="6"/>
      <c r="U181" s="6"/>
      <c r="V181" s="6"/>
      <c r="W181" s="6"/>
      <c r="X181" s="6"/>
      <c r="Y181" s="6"/>
      <c r="Z181" s="6"/>
    </row>
    <row r="182" ht="15.75" customHeight="1">
      <c r="A182" s="6"/>
      <c r="B182" s="6"/>
      <c r="C182" s="53"/>
      <c r="D182" s="53"/>
      <c r="E182" s="53"/>
      <c r="F182" s="53"/>
      <c r="G182" s="53"/>
      <c r="H182" s="53"/>
      <c r="I182" s="6"/>
      <c r="J182" s="6"/>
      <c r="K182" s="54"/>
      <c r="L182" s="6"/>
      <c r="M182" s="6"/>
      <c r="N182" s="6"/>
      <c r="O182" s="6"/>
      <c r="P182" s="6"/>
      <c r="Q182" s="6"/>
      <c r="R182" s="6"/>
      <c r="S182" s="6"/>
      <c r="T182" s="6"/>
      <c r="U182" s="6"/>
      <c r="V182" s="6"/>
      <c r="W182" s="6"/>
      <c r="X182" s="6"/>
      <c r="Y182" s="6"/>
      <c r="Z182" s="6"/>
    </row>
    <row r="183" ht="15.75" customHeight="1">
      <c r="A183" s="6"/>
      <c r="B183" s="6"/>
      <c r="C183" s="53"/>
      <c r="D183" s="53"/>
      <c r="E183" s="53"/>
      <c r="F183" s="53"/>
      <c r="G183" s="53"/>
      <c r="H183" s="53"/>
      <c r="I183" s="6"/>
      <c r="J183" s="6"/>
      <c r="K183" s="54"/>
      <c r="L183" s="6"/>
      <c r="M183" s="6"/>
      <c r="N183" s="6"/>
      <c r="O183" s="6"/>
      <c r="P183" s="6"/>
      <c r="Q183" s="6"/>
      <c r="R183" s="6"/>
      <c r="S183" s="6"/>
      <c r="T183" s="6"/>
      <c r="U183" s="6"/>
      <c r="V183" s="6"/>
      <c r="W183" s="6"/>
      <c r="X183" s="6"/>
      <c r="Y183" s="6"/>
      <c r="Z183" s="6"/>
    </row>
    <row r="184" ht="15.75" customHeight="1">
      <c r="A184" s="6"/>
      <c r="B184" s="6"/>
      <c r="C184" s="53"/>
      <c r="D184" s="53"/>
      <c r="E184" s="53"/>
      <c r="F184" s="53"/>
      <c r="G184" s="53"/>
      <c r="H184" s="53"/>
      <c r="I184" s="6"/>
      <c r="J184" s="6"/>
      <c r="K184" s="54"/>
      <c r="L184" s="6"/>
      <c r="M184" s="6"/>
      <c r="N184" s="6"/>
      <c r="O184" s="6"/>
      <c r="P184" s="6"/>
      <c r="Q184" s="6"/>
      <c r="R184" s="6"/>
      <c r="S184" s="6"/>
      <c r="T184" s="6"/>
      <c r="U184" s="6"/>
      <c r="V184" s="6"/>
      <c r="W184" s="6"/>
      <c r="X184" s="6"/>
      <c r="Y184" s="6"/>
      <c r="Z184" s="6"/>
    </row>
    <row r="185" ht="15.75" customHeight="1">
      <c r="A185" s="6"/>
      <c r="B185" s="6"/>
      <c r="C185" s="53"/>
      <c r="D185" s="53"/>
      <c r="E185" s="53"/>
      <c r="F185" s="53"/>
      <c r="G185" s="53"/>
      <c r="H185" s="53"/>
      <c r="I185" s="6"/>
      <c r="J185" s="6"/>
      <c r="K185" s="54"/>
      <c r="L185" s="6"/>
      <c r="M185" s="6"/>
      <c r="N185" s="6"/>
      <c r="O185" s="6"/>
      <c r="P185" s="6"/>
      <c r="Q185" s="6"/>
      <c r="R185" s="6"/>
      <c r="S185" s="6"/>
      <c r="T185" s="6"/>
      <c r="U185" s="6"/>
      <c r="V185" s="6"/>
      <c r="W185" s="6"/>
      <c r="X185" s="6"/>
      <c r="Y185" s="6"/>
      <c r="Z185" s="6"/>
    </row>
    <row r="186" ht="15.75" customHeight="1">
      <c r="A186" s="6"/>
      <c r="B186" s="6"/>
      <c r="C186" s="53"/>
      <c r="D186" s="53"/>
      <c r="E186" s="53"/>
      <c r="F186" s="53"/>
      <c r="G186" s="53"/>
      <c r="H186" s="53"/>
      <c r="I186" s="6"/>
      <c r="J186" s="6"/>
      <c r="K186" s="54"/>
      <c r="L186" s="6"/>
      <c r="M186" s="6"/>
      <c r="N186" s="6"/>
      <c r="O186" s="6"/>
      <c r="P186" s="6"/>
      <c r="Q186" s="6"/>
      <c r="R186" s="6"/>
      <c r="S186" s="6"/>
      <c r="T186" s="6"/>
      <c r="U186" s="6"/>
      <c r="V186" s="6"/>
      <c r="W186" s="6"/>
      <c r="X186" s="6"/>
      <c r="Y186" s="6"/>
      <c r="Z186" s="6"/>
    </row>
    <row r="187" ht="15.75" customHeight="1">
      <c r="A187" s="6"/>
      <c r="B187" s="6"/>
      <c r="C187" s="53"/>
      <c r="D187" s="53"/>
      <c r="E187" s="53"/>
      <c r="F187" s="53"/>
      <c r="G187" s="53"/>
      <c r="H187" s="53"/>
      <c r="I187" s="6"/>
      <c r="J187" s="6"/>
      <c r="K187" s="54"/>
      <c r="L187" s="6"/>
      <c r="M187" s="6"/>
      <c r="N187" s="6"/>
      <c r="O187" s="6"/>
      <c r="P187" s="6"/>
      <c r="Q187" s="6"/>
      <c r="R187" s="6"/>
      <c r="S187" s="6"/>
      <c r="T187" s="6"/>
      <c r="U187" s="6"/>
      <c r="V187" s="6"/>
      <c r="W187" s="6"/>
      <c r="X187" s="6"/>
      <c r="Y187" s="6"/>
      <c r="Z187" s="6"/>
    </row>
    <row r="188" ht="15.75" customHeight="1">
      <c r="A188" s="6"/>
      <c r="B188" s="6"/>
      <c r="C188" s="53"/>
      <c r="D188" s="53"/>
      <c r="E188" s="53"/>
      <c r="F188" s="53"/>
      <c r="G188" s="53"/>
      <c r="H188" s="53"/>
      <c r="I188" s="6"/>
      <c r="J188" s="6"/>
      <c r="K188" s="54"/>
      <c r="L188" s="6"/>
      <c r="M188" s="6"/>
      <c r="N188" s="6"/>
      <c r="O188" s="6"/>
      <c r="P188" s="6"/>
      <c r="Q188" s="6"/>
      <c r="R188" s="6"/>
      <c r="S188" s="6"/>
      <c r="T188" s="6"/>
      <c r="U188" s="6"/>
      <c r="V188" s="6"/>
      <c r="W188" s="6"/>
      <c r="X188" s="6"/>
      <c r="Y188" s="6"/>
      <c r="Z188" s="6"/>
    </row>
    <row r="189" ht="15.75" customHeight="1">
      <c r="A189" s="6"/>
      <c r="B189" s="6"/>
      <c r="C189" s="53"/>
      <c r="D189" s="53"/>
      <c r="E189" s="53"/>
      <c r="F189" s="53"/>
      <c r="G189" s="53"/>
      <c r="H189" s="53"/>
      <c r="I189" s="6"/>
      <c r="J189" s="6"/>
      <c r="K189" s="54"/>
      <c r="L189" s="6"/>
      <c r="M189" s="6"/>
      <c r="N189" s="6"/>
      <c r="O189" s="6"/>
      <c r="P189" s="6"/>
      <c r="Q189" s="6"/>
      <c r="R189" s="6"/>
      <c r="S189" s="6"/>
      <c r="T189" s="6"/>
      <c r="U189" s="6"/>
      <c r="V189" s="6"/>
      <c r="W189" s="6"/>
      <c r="X189" s="6"/>
      <c r="Y189" s="6"/>
      <c r="Z189" s="6"/>
    </row>
    <row r="190" ht="15.75" customHeight="1">
      <c r="A190" s="6"/>
      <c r="B190" s="6"/>
      <c r="C190" s="53"/>
      <c r="D190" s="53"/>
      <c r="E190" s="53"/>
      <c r="F190" s="53"/>
      <c r="G190" s="53"/>
      <c r="H190" s="53"/>
      <c r="I190" s="6"/>
      <c r="J190" s="6"/>
      <c r="K190" s="54"/>
      <c r="L190" s="6"/>
      <c r="M190" s="6"/>
      <c r="N190" s="6"/>
      <c r="O190" s="6"/>
      <c r="P190" s="6"/>
      <c r="Q190" s="6"/>
      <c r="R190" s="6"/>
      <c r="S190" s="6"/>
      <c r="T190" s="6"/>
      <c r="U190" s="6"/>
      <c r="V190" s="6"/>
      <c r="W190" s="6"/>
      <c r="X190" s="6"/>
      <c r="Y190" s="6"/>
      <c r="Z190" s="6"/>
    </row>
    <row r="191" ht="15.75" customHeight="1">
      <c r="A191" s="6"/>
      <c r="B191" s="6"/>
      <c r="C191" s="53"/>
      <c r="D191" s="53"/>
      <c r="E191" s="53"/>
      <c r="F191" s="53"/>
      <c r="G191" s="53"/>
      <c r="H191" s="53"/>
      <c r="I191" s="6"/>
      <c r="J191" s="6"/>
      <c r="K191" s="54"/>
      <c r="L191" s="6"/>
      <c r="M191" s="6"/>
      <c r="N191" s="6"/>
      <c r="O191" s="6"/>
      <c r="P191" s="6"/>
      <c r="Q191" s="6"/>
      <c r="R191" s="6"/>
      <c r="S191" s="6"/>
      <c r="T191" s="6"/>
      <c r="U191" s="6"/>
      <c r="V191" s="6"/>
      <c r="W191" s="6"/>
      <c r="X191" s="6"/>
      <c r="Y191" s="6"/>
      <c r="Z191" s="6"/>
    </row>
    <row r="192" ht="15.75" customHeight="1">
      <c r="A192" s="6"/>
      <c r="B192" s="6"/>
      <c r="C192" s="53"/>
      <c r="D192" s="53"/>
      <c r="E192" s="53"/>
      <c r="F192" s="53"/>
      <c r="G192" s="53"/>
      <c r="H192" s="53"/>
      <c r="I192" s="6"/>
      <c r="J192" s="6"/>
      <c r="K192" s="54"/>
      <c r="L192" s="6"/>
      <c r="M192" s="6"/>
      <c r="N192" s="6"/>
      <c r="O192" s="6"/>
      <c r="P192" s="6"/>
      <c r="Q192" s="6"/>
      <c r="R192" s="6"/>
      <c r="S192" s="6"/>
      <c r="T192" s="6"/>
      <c r="U192" s="6"/>
      <c r="V192" s="6"/>
      <c r="W192" s="6"/>
      <c r="X192" s="6"/>
      <c r="Y192" s="6"/>
      <c r="Z192" s="6"/>
    </row>
    <row r="193" ht="15.75" customHeight="1">
      <c r="A193" s="6"/>
      <c r="B193" s="6"/>
      <c r="C193" s="53"/>
      <c r="D193" s="53"/>
      <c r="E193" s="53"/>
      <c r="F193" s="53"/>
      <c r="G193" s="53"/>
      <c r="H193" s="53"/>
      <c r="I193" s="6"/>
      <c r="J193" s="6"/>
      <c r="K193" s="54"/>
      <c r="L193" s="6"/>
      <c r="M193" s="6"/>
      <c r="N193" s="6"/>
      <c r="O193" s="6"/>
      <c r="P193" s="6"/>
      <c r="Q193" s="6"/>
      <c r="R193" s="6"/>
      <c r="S193" s="6"/>
      <c r="T193" s="6"/>
      <c r="U193" s="6"/>
      <c r="V193" s="6"/>
      <c r="W193" s="6"/>
      <c r="X193" s="6"/>
      <c r="Y193" s="6"/>
      <c r="Z193" s="6"/>
    </row>
    <row r="194" ht="15.75" customHeight="1">
      <c r="A194" s="6"/>
      <c r="B194" s="6"/>
      <c r="C194" s="53"/>
      <c r="D194" s="53"/>
      <c r="E194" s="53"/>
      <c r="F194" s="53"/>
      <c r="G194" s="53"/>
      <c r="H194" s="53"/>
      <c r="I194" s="6"/>
      <c r="J194" s="6"/>
      <c r="K194" s="54"/>
      <c r="L194" s="6"/>
      <c r="M194" s="6"/>
      <c r="N194" s="6"/>
      <c r="O194" s="6"/>
      <c r="P194" s="6"/>
      <c r="Q194" s="6"/>
      <c r="R194" s="6"/>
      <c r="S194" s="6"/>
      <c r="T194" s="6"/>
      <c r="U194" s="6"/>
      <c r="V194" s="6"/>
      <c r="W194" s="6"/>
      <c r="X194" s="6"/>
      <c r="Y194" s="6"/>
      <c r="Z194" s="6"/>
    </row>
    <row r="195" ht="15.75" customHeight="1">
      <c r="A195" s="6"/>
      <c r="B195" s="6"/>
      <c r="C195" s="53"/>
      <c r="D195" s="53"/>
      <c r="E195" s="53"/>
      <c r="F195" s="53"/>
      <c r="G195" s="53"/>
      <c r="H195" s="53"/>
      <c r="I195" s="6"/>
      <c r="J195" s="6"/>
      <c r="K195" s="54"/>
      <c r="L195" s="6"/>
      <c r="M195" s="6"/>
      <c r="N195" s="6"/>
      <c r="O195" s="6"/>
      <c r="P195" s="6"/>
      <c r="Q195" s="6"/>
      <c r="R195" s="6"/>
      <c r="S195" s="6"/>
      <c r="T195" s="6"/>
      <c r="U195" s="6"/>
      <c r="V195" s="6"/>
      <c r="W195" s="6"/>
      <c r="X195" s="6"/>
      <c r="Y195" s="6"/>
      <c r="Z195" s="6"/>
    </row>
    <row r="196" ht="15.75" customHeight="1">
      <c r="A196" s="6"/>
      <c r="B196" s="6"/>
      <c r="C196" s="53"/>
      <c r="D196" s="53"/>
      <c r="E196" s="53"/>
      <c r="F196" s="53"/>
      <c r="G196" s="53"/>
      <c r="H196" s="53"/>
      <c r="I196" s="6"/>
      <c r="J196" s="6"/>
      <c r="K196" s="54"/>
      <c r="L196" s="6"/>
      <c r="M196" s="6"/>
      <c r="N196" s="6"/>
      <c r="O196" s="6"/>
      <c r="P196" s="6"/>
      <c r="Q196" s="6"/>
      <c r="R196" s="6"/>
      <c r="S196" s="6"/>
      <c r="T196" s="6"/>
      <c r="U196" s="6"/>
      <c r="V196" s="6"/>
      <c r="W196" s="6"/>
      <c r="X196" s="6"/>
      <c r="Y196" s="6"/>
      <c r="Z196" s="6"/>
    </row>
    <row r="197" ht="15.75" customHeight="1">
      <c r="A197" s="6"/>
      <c r="B197" s="6"/>
      <c r="C197" s="53"/>
      <c r="D197" s="53"/>
      <c r="E197" s="53"/>
      <c r="F197" s="53"/>
      <c r="G197" s="53"/>
      <c r="H197" s="53"/>
      <c r="I197" s="6"/>
      <c r="J197" s="6"/>
      <c r="K197" s="54"/>
      <c r="L197" s="6"/>
      <c r="M197" s="6"/>
      <c r="N197" s="6"/>
      <c r="O197" s="6"/>
      <c r="P197" s="6"/>
      <c r="Q197" s="6"/>
      <c r="R197" s="6"/>
      <c r="S197" s="6"/>
      <c r="T197" s="6"/>
      <c r="U197" s="6"/>
      <c r="V197" s="6"/>
      <c r="W197" s="6"/>
      <c r="X197" s="6"/>
      <c r="Y197" s="6"/>
      <c r="Z197" s="6"/>
    </row>
    <row r="198" ht="15.75" customHeight="1">
      <c r="A198" s="6"/>
      <c r="B198" s="6"/>
      <c r="C198" s="53"/>
      <c r="D198" s="53"/>
      <c r="E198" s="53"/>
      <c r="F198" s="53"/>
      <c r="G198" s="53"/>
      <c r="H198" s="53"/>
      <c r="I198" s="6"/>
      <c r="J198" s="6"/>
      <c r="K198" s="54"/>
      <c r="L198" s="6"/>
      <c r="M198" s="6"/>
      <c r="N198" s="6"/>
      <c r="O198" s="6"/>
      <c r="P198" s="6"/>
      <c r="Q198" s="6"/>
      <c r="R198" s="6"/>
      <c r="S198" s="6"/>
      <c r="T198" s="6"/>
      <c r="U198" s="6"/>
      <c r="V198" s="6"/>
      <c r="W198" s="6"/>
      <c r="X198" s="6"/>
      <c r="Y198" s="6"/>
      <c r="Z198" s="6"/>
    </row>
    <row r="199" ht="15.75" customHeight="1">
      <c r="A199" s="6"/>
      <c r="B199" s="6"/>
      <c r="C199" s="53"/>
      <c r="D199" s="53"/>
      <c r="E199" s="53"/>
      <c r="F199" s="53"/>
      <c r="G199" s="53"/>
      <c r="H199" s="53"/>
      <c r="I199" s="6"/>
      <c r="J199" s="6"/>
      <c r="K199" s="54"/>
      <c r="L199" s="6"/>
      <c r="M199" s="6"/>
      <c r="N199" s="6"/>
      <c r="O199" s="6"/>
      <c r="P199" s="6"/>
      <c r="Q199" s="6"/>
      <c r="R199" s="6"/>
      <c r="S199" s="6"/>
      <c r="T199" s="6"/>
      <c r="U199" s="6"/>
      <c r="V199" s="6"/>
      <c r="W199" s="6"/>
      <c r="X199" s="6"/>
      <c r="Y199" s="6"/>
      <c r="Z199" s="6"/>
    </row>
    <row r="200" ht="15.75" customHeight="1">
      <c r="A200" s="6"/>
      <c r="B200" s="6"/>
      <c r="C200" s="53"/>
      <c r="D200" s="53"/>
      <c r="E200" s="53"/>
      <c r="F200" s="53"/>
      <c r="G200" s="53"/>
      <c r="H200" s="53"/>
      <c r="I200" s="6"/>
      <c r="J200" s="6"/>
      <c r="K200" s="54"/>
      <c r="L200" s="6"/>
      <c r="M200" s="6"/>
      <c r="N200" s="6"/>
      <c r="O200" s="6"/>
      <c r="P200" s="6"/>
      <c r="Q200" s="6"/>
      <c r="R200" s="6"/>
      <c r="S200" s="6"/>
      <c r="T200" s="6"/>
      <c r="U200" s="6"/>
      <c r="V200" s="6"/>
      <c r="W200" s="6"/>
      <c r="X200" s="6"/>
      <c r="Y200" s="6"/>
      <c r="Z200" s="6"/>
    </row>
    <row r="201" ht="15.75" customHeight="1">
      <c r="A201" s="6"/>
      <c r="B201" s="6"/>
      <c r="C201" s="53"/>
      <c r="D201" s="53"/>
      <c r="E201" s="53"/>
      <c r="F201" s="53"/>
      <c r="G201" s="53"/>
      <c r="H201" s="53"/>
      <c r="I201" s="6"/>
      <c r="J201" s="6"/>
      <c r="K201" s="54"/>
      <c r="L201" s="6"/>
      <c r="M201" s="6"/>
      <c r="N201" s="6"/>
      <c r="O201" s="6"/>
      <c r="P201" s="6"/>
      <c r="Q201" s="6"/>
      <c r="R201" s="6"/>
      <c r="S201" s="6"/>
      <c r="T201" s="6"/>
      <c r="U201" s="6"/>
      <c r="V201" s="6"/>
      <c r="W201" s="6"/>
      <c r="X201" s="6"/>
      <c r="Y201" s="6"/>
      <c r="Z201" s="6"/>
    </row>
    <row r="202" ht="15.75" customHeight="1">
      <c r="A202" s="6"/>
      <c r="B202" s="6"/>
      <c r="C202" s="53"/>
      <c r="D202" s="53"/>
      <c r="E202" s="53"/>
      <c r="F202" s="53"/>
      <c r="G202" s="53"/>
      <c r="H202" s="53"/>
      <c r="I202" s="6"/>
      <c r="J202" s="6"/>
      <c r="K202" s="54"/>
      <c r="L202" s="6"/>
      <c r="M202" s="6"/>
      <c r="N202" s="6"/>
      <c r="O202" s="6"/>
      <c r="P202" s="6"/>
      <c r="Q202" s="6"/>
      <c r="R202" s="6"/>
      <c r="S202" s="6"/>
      <c r="T202" s="6"/>
      <c r="U202" s="6"/>
      <c r="V202" s="6"/>
      <c r="W202" s="6"/>
      <c r="X202" s="6"/>
      <c r="Y202" s="6"/>
      <c r="Z202" s="6"/>
    </row>
    <row r="203" ht="15.75" customHeight="1">
      <c r="A203" s="6"/>
      <c r="B203" s="6"/>
      <c r="C203" s="53"/>
      <c r="D203" s="53"/>
      <c r="E203" s="53"/>
      <c r="F203" s="53"/>
      <c r="G203" s="53"/>
      <c r="H203" s="53"/>
      <c r="I203" s="6"/>
      <c r="J203" s="6"/>
      <c r="K203" s="54"/>
      <c r="L203" s="6"/>
      <c r="M203" s="6"/>
      <c r="N203" s="6"/>
      <c r="O203" s="6"/>
      <c r="P203" s="6"/>
      <c r="Q203" s="6"/>
      <c r="R203" s="6"/>
      <c r="S203" s="6"/>
      <c r="T203" s="6"/>
      <c r="U203" s="6"/>
      <c r="V203" s="6"/>
      <c r="W203" s="6"/>
      <c r="X203" s="6"/>
      <c r="Y203" s="6"/>
      <c r="Z203" s="6"/>
    </row>
    <row r="204" ht="15.75" customHeight="1">
      <c r="A204" s="6"/>
      <c r="B204" s="6"/>
      <c r="C204" s="53"/>
      <c r="D204" s="53"/>
      <c r="E204" s="53"/>
      <c r="F204" s="53"/>
      <c r="G204" s="53"/>
      <c r="H204" s="53"/>
      <c r="I204" s="6"/>
      <c r="J204" s="6"/>
      <c r="K204" s="54"/>
      <c r="L204" s="6"/>
      <c r="M204" s="6"/>
      <c r="N204" s="6"/>
      <c r="O204" s="6"/>
      <c r="P204" s="6"/>
      <c r="Q204" s="6"/>
      <c r="R204" s="6"/>
      <c r="S204" s="6"/>
      <c r="T204" s="6"/>
      <c r="U204" s="6"/>
      <c r="V204" s="6"/>
      <c r="W204" s="6"/>
      <c r="X204" s="6"/>
      <c r="Y204" s="6"/>
      <c r="Z204" s="6"/>
    </row>
    <row r="205" ht="15.75" customHeight="1">
      <c r="A205" s="6"/>
      <c r="B205" s="6"/>
      <c r="C205" s="53"/>
      <c r="D205" s="53"/>
      <c r="E205" s="53"/>
      <c r="F205" s="53"/>
      <c r="G205" s="53"/>
      <c r="H205" s="53"/>
      <c r="I205" s="6"/>
      <c r="J205" s="6"/>
      <c r="K205" s="54"/>
      <c r="L205" s="6"/>
      <c r="M205" s="6"/>
      <c r="N205" s="6"/>
      <c r="O205" s="6"/>
      <c r="P205" s="6"/>
      <c r="Q205" s="6"/>
      <c r="R205" s="6"/>
      <c r="S205" s="6"/>
      <c r="T205" s="6"/>
      <c r="U205" s="6"/>
      <c r="V205" s="6"/>
      <c r="W205" s="6"/>
      <c r="X205" s="6"/>
      <c r="Y205" s="6"/>
      <c r="Z205" s="6"/>
    </row>
    <row r="206" ht="15.75" customHeight="1">
      <c r="A206" s="6"/>
      <c r="B206" s="6"/>
      <c r="C206" s="53"/>
      <c r="D206" s="53"/>
      <c r="E206" s="53"/>
      <c r="F206" s="53"/>
      <c r="G206" s="53"/>
      <c r="H206" s="53"/>
      <c r="I206" s="6"/>
      <c r="J206" s="6"/>
      <c r="K206" s="54"/>
      <c r="L206" s="6"/>
      <c r="M206" s="6"/>
      <c r="N206" s="6"/>
      <c r="O206" s="6"/>
      <c r="P206" s="6"/>
      <c r="Q206" s="6"/>
      <c r="R206" s="6"/>
      <c r="S206" s="6"/>
      <c r="T206" s="6"/>
      <c r="U206" s="6"/>
      <c r="V206" s="6"/>
      <c r="W206" s="6"/>
      <c r="X206" s="6"/>
      <c r="Y206" s="6"/>
      <c r="Z206" s="6"/>
    </row>
    <row r="207" ht="15.75" customHeight="1">
      <c r="A207" s="6"/>
      <c r="B207" s="6"/>
      <c r="C207" s="53"/>
      <c r="D207" s="53"/>
      <c r="E207" s="53"/>
      <c r="F207" s="53"/>
      <c r="G207" s="53"/>
      <c r="H207" s="53"/>
      <c r="I207" s="6"/>
      <c r="J207" s="6"/>
      <c r="K207" s="54"/>
      <c r="L207" s="6"/>
      <c r="M207" s="6"/>
      <c r="N207" s="6"/>
      <c r="O207" s="6"/>
      <c r="P207" s="6"/>
      <c r="Q207" s="6"/>
      <c r="R207" s="6"/>
      <c r="S207" s="6"/>
      <c r="T207" s="6"/>
      <c r="U207" s="6"/>
      <c r="V207" s="6"/>
      <c r="W207" s="6"/>
      <c r="X207" s="6"/>
      <c r="Y207" s="6"/>
      <c r="Z207" s="6"/>
    </row>
    <row r="208" ht="15.75" customHeight="1">
      <c r="A208" s="6"/>
      <c r="B208" s="6"/>
      <c r="C208" s="53"/>
      <c r="D208" s="53"/>
      <c r="E208" s="53"/>
      <c r="F208" s="53"/>
      <c r="G208" s="53"/>
      <c r="H208" s="53"/>
      <c r="I208" s="6"/>
      <c r="J208" s="6"/>
      <c r="K208" s="54"/>
      <c r="L208" s="6"/>
      <c r="M208" s="6"/>
      <c r="N208" s="6"/>
      <c r="O208" s="6"/>
      <c r="P208" s="6"/>
      <c r="Q208" s="6"/>
      <c r="R208" s="6"/>
      <c r="S208" s="6"/>
      <c r="T208" s="6"/>
      <c r="U208" s="6"/>
      <c r="V208" s="6"/>
      <c r="W208" s="6"/>
      <c r="X208" s="6"/>
      <c r="Y208" s="6"/>
      <c r="Z208" s="6"/>
    </row>
    <row r="209" ht="15.75" customHeight="1">
      <c r="A209" s="6"/>
      <c r="B209" s="6"/>
      <c r="C209" s="53"/>
      <c r="D209" s="53"/>
      <c r="E209" s="53"/>
      <c r="F209" s="53"/>
      <c r="G209" s="53"/>
      <c r="H209" s="53"/>
      <c r="I209" s="6"/>
      <c r="J209" s="6"/>
      <c r="K209" s="54"/>
      <c r="L209" s="6"/>
      <c r="M209" s="6"/>
      <c r="N209" s="6"/>
      <c r="O209" s="6"/>
      <c r="P209" s="6"/>
      <c r="Q209" s="6"/>
      <c r="R209" s="6"/>
      <c r="S209" s="6"/>
      <c r="T209" s="6"/>
      <c r="U209" s="6"/>
      <c r="V209" s="6"/>
      <c r="W209" s="6"/>
      <c r="X209" s="6"/>
      <c r="Y209" s="6"/>
      <c r="Z209" s="6"/>
    </row>
    <row r="210" ht="15.75" customHeight="1">
      <c r="A210" s="6"/>
      <c r="B210" s="6"/>
      <c r="C210" s="53"/>
      <c r="D210" s="53"/>
      <c r="E210" s="53"/>
      <c r="F210" s="53"/>
      <c r="G210" s="53"/>
      <c r="H210" s="53"/>
      <c r="I210" s="6"/>
      <c r="J210" s="6"/>
      <c r="K210" s="54"/>
      <c r="L210" s="6"/>
      <c r="M210" s="6"/>
      <c r="N210" s="6"/>
      <c r="O210" s="6"/>
      <c r="P210" s="6"/>
      <c r="Q210" s="6"/>
      <c r="R210" s="6"/>
      <c r="S210" s="6"/>
      <c r="T210" s="6"/>
      <c r="U210" s="6"/>
      <c r="V210" s="6"/>
      <c r="W210" s="6"/>
      <c r="X210" s="6"/>
      <c r="Y210" s="6"/>
      <c r="Z210" s="6"/>
    </row>
    <row r="211" ht="15.75" customHeight="1">
      <c r="A211" s="6"/>
      <c r="B211" s="6"/>
      <c r="C211" s="53"/>
      <c r="D211" s="53"/>
      <c r="E211" s="53"/>
      <c r="F211" s="53"/>
      <c r="G211" s="53"/>
      <c r="H211" s="53"/>
      <c r="I211" s="6"/>
      <c r="J211" s="6"/>
      <c r="K211" s="54"/>
      <c r="L211" s="6"/>
      <c r="M211" s="6"/>
      <c r="N211" s="6"/>
      <c r="O211" s="6"/>
      <c r="P211" s="6"/>
      <c r="Q211" s="6"/>
      <c r="R211" s="6"/>
      <c r="S211" s="6"/>
      <c r="T211" s="6"/>
      <c r="U211" s="6"/>
      <c r="V211" s="6"/>
      <c r="W211" s="6"/>
      <c r="X211" s="6"/>
      <c r="Y211" s="6"/>
      <c r="Z211" s="6"/>
    </row>
    <row r="212" ht="15.75" customHeight="1">
      <c r="A212" s="6"/>
      <c r="B212" s="6"/>
      <c r="C212" s="53"/>
      <c r="D212" s="53"/>
      <c r="E212" s="53"/>
      <c r="F212" s="53"/>
      <c r="G212" s="53"/>
      <c r="H212" s="53"/>
      <c r="I212" s="6"/>
      <c r="J212" s="6"/>
      <c r="K212" s="54"/>
      <c r="L212" s="6"/>
      <c r="M212" s="6"/>
      <c r="N212" s="6"/>
      <c r="O212" s="6"/>
      <c r="P212" s="6"/>
      <c r="Q212" s="6"/>
      <c r="R212" s="6"/>
      <c r="S212" s="6"/>
      <c r="T212" s="6"/>
      <c r="U212" s="6"/>
      <c r="V212" s="6"/>
      <c r="W212" s="6"/>
      <c r="X212" s="6"/>
      <c r="Y212" s="6"/>
      <c r="Z212" s="6"/>
    </row>
    <row r="213" ht="15.75" customHeight="1">
      <c r="A213" s="6"/>
      <c r="B213" s="6"/>
      <c r="C213" s="53"/>
      <c r="D213" s="53"/>
      <c r="E213" s="53"/>
      <c r="F213" s="53"/>
      <c r="G213" s="53"/>
      <c r="H213" s="53"/>
      <c r="I213" s="6"/>
      <c r="J213" s="6"/>
      <c r="K213" s="54"/>
      <c r="L213" s="6"/>
      <c r="M213" s="6"/>
      <c r="N213" s="6"/>
      <c r="O213" s="6"/>
      <c r="P213" s="6"/>
      <c r="Q213" s="6"/>
      <c r="R213" s="6"/>
      <c r="S213" s="6"/>
      <c r="T213" s="6"/>
      <c r="U213" s="6"/>
      <c r="V213" s="6"/>
      <c r="W213" s="6"/>
      <c r="X213" s="6"/>
      <c r="Y213" s="6"/>
      <c r="Z213" s="6"/>
    </row>
    <row r="214" ht="15.75" customHeight="1">
      <c r="A214" s="6"/>
      <c r="B214" s="6"/>
      <c r="C214" s="53"/>
      <c r="D214" s="53"/>
      <c r="E214" s="53"/>
      <c r="F214" s="53"/>
      <c r="G214" s="53"/>
      <c r="H214" s="53"/>
      <c r="I214" s="6"/>
      <c r="J214" s="6"/>
      <c r="K214" s="54"/>
      <c r="L214" s="6"/>
      <c r="M214" s="6"/>
      <c r="N214" s="6"/>
      <c r="O214" s="6"/>
      <c r="P214" s="6"/>
      <c r="Q214" s="6"/>
      <c r="R214" s="6"/>
      <c r="S214" s="6"/>
      <c r="T214" s="6"/>
      <c r="U214" s="6"/>
      <c r="V214" s="6"/>
      <c r="W214" s="6"/>
      <c r="X214" s="6"/>
      <c r="Y214" s="6"/>
      <c r="Z214" s="6"/>
    </row>
    <row r="215" ht="15.75" customHeight="1">
      <c r="A215" s="6"/>
      <c r="B215" s="6"/>
      <c r="C215" s="53"/>
      <c r="D215" s="53"/>
      <c r="E215" s="53"/>
      <c r="F215" s="53"/>
      <c r="G215" s="53"/>
      <c r="H215" s="53"/>
      <c r="I215" s="6"/>
      <c r="J215" s="6"/>
      <c r="K215" s="54"/>
      <c r="L215" s="6"/>
      <c r="M215" s="6"/>
      <c r="N215" s="6"/>
      <c r="O215" s="6"/>
      <c r="P215" s="6"/>
      <c r="Q215" s="6"/>
      <c r="R215" s="6"/>
      <c r="S215" s="6"/>
      <c r="T215" s="6"/>
      <c r="U215" s="6"/>
      <c r="V215" s="6"/>
      <c r="W215" s="6"/>
      <c r="X215" s="6"/>
      <c r="Y215" s="6"/>
      <c r="Z215" s="6"/>
    </row>
    <row r="216" ht="15.75" customHeight="1">
      <c r="A216" s="6"/>
      <c r="B216" s="6"/>
      <c r="C216" s="53"/>
      <c r="D216" s="53"/>
      <c r="E216" s="53"/>
      <c r="F216" s="53"/>
      <c r="G216" s="53"/>
      <c r="H216" s="53"/>
      <c r="I216" s="6"/>
      <c r="J216" s="6"/>
      <c r="K216" s="54"/>
      <c r="L216" s="6"/>
      <c r="M216" s="6"/>
      <c r="N216" s="6"/>
      <c r="O216" s="6"/>
      <c r="P216" s="6"/>
      <c r="Q216" s="6"/>
      <c r="R216" s="6"/>
      <c r="S216" s="6"/>
      <c r="T216" s="6"/>
      <c r="U216" s="6"/>
      <c r="V216" s="6"/>
      <c r="W216" s="6"/>
      <c r="X216" s="6"/>
      <c r="Y216" s="6"/>
      <c r="Z216" s="6"/>
    </row>
    <row r="217" ht="15.75" customHeight="1">
      <c r="A217" s="6"/>
      <c r="B217" s="6"/>
      <c r="C217" s="53"/>
      <c r="D217" s="53"/>
      <c r="E217" s="53"/>
      <c r="F217" s="53"/>
      <c r="G217" s="53"/>
      <c r="H217" s="53"/>
      <c r="I217" s="6"/>
      <c r="J217" s="6"/>
      <c r="K217" s="54"/>
      <c r="L217" s="6"/>
      <c r="M217" s="6"/>
      <c r="N217" s="6"/>
      <c r="O217" s="6"/>
      <c r="P217" s="6"/>
      <c r="Q217" s="6"/>
      <c r="R217" s="6"/>
      <c r="S217" s="6"/>
      <c r="T217" s="6"/>
      <c r="U217" s="6"/>
      <c r="V217" s="6"/>
      <c r="W217" s="6"/>
      <c r="X217" s="6"/>
      <c r="Y217" s="6"/>
      <c r="Z217" s="6"/>
    </row>
    <row r="218" ht="15.75" customHeight="1">
      <c r="A218" s="6"/>
      <c r="B218" s="6"/>
      <c r="C218" s="53"/>
      <c r="D218" s="53"/>
      <c r="E218" s="53"/>
      <c r="F218" s="53"/>
      <c r="G218" s="53"/>
      <c r="H218" s="53"/>
      <c r="I218" s="6"/>
      <c r="J218" s="6"/>
      <c r="K218" s="54"/>
      <c r="L218" s="6"/>
      <c r="M218" s="6"/>
      <c r="N218" s="6"/>
      <c r="O218" s="6"/>
      <c r="P218" s="6"/>
      <c r="Q218" s="6"/>
      <c r="R218" s="6"/>
      <c r="S218" s="6"/>
      <c r="T218" s="6"/>
      <c r="U218" s="6"/>
      <c r="V218" s="6"/>
      <c r="W218" s="6"/>
      <c r="X218" s="6"/>
      <c r="Y218" s="6"/>
      <c r="Z218" s="6"/>
    </row>
    <row r="219" ht="15.75" customHeight="1">
      <c r="A219" s="6"/>
      <c r="B219" s="6"/>
      <c r="C219" s="53"/>
      <c r="D219" s="53"/>
      <c r="E219" s="53"/>
      <c r="F219" s="53"/>
      <c r="G219" s="53"/>
      <c r="H219" s="53"/>
      <c r="I219" s="6"/>
      <c r="J219" s="6"/>
      <c r="K219" s="54"/>
      <c r="L219" s="6"/>
      <c r="M219" s="6"/>
      <c r="N219" s="6"/>
      <c r="O219" s="6"/>
      <c r="P219" s="6"/>
      <c r="Q219" s="6"/>
      <c r="R219" s="6"/>
      <c r="S219" s="6"/>
      <c r="T219" s="6"/>
      <c r="U219" s="6"/>
      <c r="V219" s="6"/>
      <c r="W219" s="6"/>
      <c r="X219" s="6"/>
      <c r="Y219" s="6"/>
      <c r="Z219" s="6"/>
    </row>
    <row r="220" ht="15.75" customHeight="1">
      <c r="A220" s="6"/>
      <c r="B220" s="6"/>
      <c r="C220" s="53"/>
      <c r="D220" s="53"/>
      <c r="E220" s="53"/>
      <c r="F220" s="53"/>
      <c r="G220" s="53"/>
      <c r="H220" s="53"/>
      <c r="I220" s="6"/>
      <c r="J220" s="6"/>
      <c r="K220" s="54"/>
      <c r="L220" s="6"/>
      <c r="M220" s="6"/>
      <c r="N220" s="6"/>
      <c r="O220" s="6"/>
      <c r="P220" s="6"/>
      <c r="Q220" s="6"/>
      <c r="R220" s="6"/>
      <c r="S220" s="6"/>
      <c r="T220" s="6"/>
      <c r="U220" s="6"/>
      <c r="V220" s="6"/>
      <c r="W220" s="6"/>
      <c r="X220" s="6"/>
      <c r="Y220" s="6"/>
      <c r="Z220" s="6"/>
    </row>
    <row r="221" ht="15.75" customHeight="1">
      <c r="A221" s="6"/>
      <c r="B221" s="6"/>
      <c r="C221" s="53"/>
      <c r="D221" s="53"/>
      <c r="E221" s="53"/>
      <c r="F221" s="53"/>
      <c r="G221" s="53"/>
      <c r="H221" s="53"/>
      <c r="I221" s="6"/>
      <c r="J221" s="6"/>
      <c r="K221" s="54"/>
      <c r="L221" s="6"/>
      <c r="M221" s="6"/>
      <c r="N221" s="6"/>
      <c r="O221" s="6"/>
      <c r="P221" s="6"/>
      <c r="Q221" s="6"/>
      <c r="R221" s="6"/>
      <c r="S221" s="6"/>
      <c r="T221" s="6"/>
      <c r="U221" s="6"/>
      <c r="V221" s="6"/>
      <c r="W221" s="6"/>
      <c r="X221" s="6"/>
      <c r="Y221" s="6"/>
      <c r="Z221" s="6"/>
    </row>
    <row r="222" ht="15.75" customHeight="1">
      <c r="A222" s="6"/>
      <c r="B222" s="6"/>
      <c r="C222" s="53"/>
      <c r="D222" s="53"/>
      <c r="E222" s="53"/>
      <c r="F222" s="53"/>
      <c r="G222" s="53"/>
      <c r="H222" s="53"/>
      <c r="I222" s="6"/>
      <c r="J222" s="6"/>
      <c r="K222" s="54"/>
      <c r="L222" s="6"/>
      <c r="M222" s="6"/>
      <c r="N222" s="6"/>
      <c r="O222" s="6"/>
      <c r="P222" s="6"/>
      <c r="Q222" s="6"/>
      <c r="R222" s="6"/>
      <c r="S222" s="6"/>
      <c r="T222" s="6"/>
      <c r="U222" s="6"/>
      <c r="V222" s="6"/>
      <c r="W222" s="6"/>
      <c r="X222" s="6"/>
      <c r="Y222" s="6"/>
      <c r="Z222" s="6"/>
    </row>
    <row r="223" ht="15.75" customHeight="1">
      <c r="A223" s="6"/>
      <c r="B223" s="6"/>
      <c r="C223" s="53"/>
      <c r="D223" s="53"/>
      <c r="E223" s="53"/>
      <c r="F223" s="53"/>
      <c r="G223" s="53"/>
      <c r="H223" s="53"/>
      <c r="I223" s="6"/>
      <c r="J223" s="6"/>
      <c r="K223" s="54"/>
      <c r="L223" s="6"/>
      <c r="M223" s="6"/>
      <c r="N223" s="6"/>
      <c r="O223" s="6"/>
      <c r="P223" s="6"/>
      <c r="Q223" s="6"/>
      <c r="R223" s="6"/>
      <c r="S223" s="6"/>
      <c r="T223" s="6"/>
      <c r="U223" s="6"/>
      <c r="V223" s="6"/>
      <c r="W223" s="6"/>
      <c r="X223" s="6"/>
      <c r="Y223" s="6"/>
      <c r="Z223" s="6"/>
    </row>
    <row r="224" ht="15.75" customHeight="1">
      <c r="A224" s="6"/>
      <c r="B224" s="6"/>
      <c r="C224" s="53"/>
      <c r="D224" s="53"/>
      <c r="E224" s="53"/>
      <c r="F224" s="53"/>
      <c r="G224" s="53"/>
      <c r="H224" s="53"/>
      <c r="I224" s="6"/>
      <c r="J224" s="6"/>
      <c r="K224" s="54"/>
      <c r="L224" s="6"/>
      <c r="M224" s="6"/>
      <c r="N224" s="6"/>
      <c r="O224" s="6"/>
      <c r="P224" s="6"/>
      <c r="Q224" s="6"/>
      <c r="R224" s="6"/>
      <c r="S224" s="6"/>
      <c r="T224" s="6"/>
      <c r="U224" s="6"/>
      <c r="V224" s="6"/>
      <c r="W224" s="6"/>
      <c r="X224" s="6"/>
      <c r="Y224" s="6"/>
      <c r="Z224" s="6"/>
    </row>
    <row r="225" ht="15.75" customHeight="1">
      <c r="A225" s="6"/>
      <c r="B225" s="6"/>
      <c r="C225" s="53"/>
      <c r="D225" s="53"/>
      <c r="E225" s="53"/>
      <c r="F225" s="53"/>
      <c r="G225" s="53"/>
      <c r="H225" s="53"/>
      <c r="I225" s="6"/>
      <c r="J225" s="6"/>
      <c r="K225" s="54"/>
      <c r="L225" s="6"/>
      <c r="M225" s="6"/>
      <c r="N225" s="6"/>
      <c r="O225" s="6"/>
      <c r="P225" s="6"/>
      <c r="Q225" s="6"/>
      <c r="R225" s="6"/>
      <c r="S225" s="6"/>
      <c r="T225" s="6"/>
      <c r="U225" s="6"/>
      <c r="V225" s="6"/>
      <c r="W225" s="6"/>
      <c r="X225" s="6"/>
      <c r="Y225" s="6"/>
      <c r="Z225" s="6"/>
    </row>
    <row r="226" ht="15.75" customHeight="1">
      <c r="A226" s="6"/>
      <c r="B226" s="6"/>
      <c r="C226" s="53"/>
      <c r="D226" s="53"/>
      <c r="E226" s="53"/>
      <c r="F226" s="53"/>
      <c r="G226" s="53"/>
      <c r="H226" s="53"/>
      <c r="I226" s="6"/>
      <c r="J226" s="6"/>
      <c r="K226" s="54"/>
      <c r="L226" s="6"/>
      <c r="M226" s="6"/>
      <c r="N226" s="6"/>
      <c r="O226" s="6"/>
      <c r="P226" s="6"/>
      <c r="Q226" s="6"/>
      <c r="R226" s="6"/>
      <c r="S226" s="6"/>
      <c r="T226" s="6"/>
      <c r="U226" s="6"/>
      <c r="V226" s="6"/>
      <c r="W226" s="6"/>
      <c r="X226" s="6"/>
      <c r="Y226" s="6"/>
      <c r="Z226" s="6"/>
    </row>
    <row r="227" ht="15.75" customHeight="1">
      <c r="A227" s="6"/>
      <c r="B227" s="6"/>
      <c r="C227" s="53"/>
      <c r="D227" s="53"/>
      <c r="E227" s="53"/>
      <c r="F227" s="53"/>
      <c r="G227" s="53"/>
      <c r="H227" s="53"/>
      <c r="I227" s="6"/>
      <c r="J227" s="6"/>
      <c r="K227" s="54"/>
      <c r="L227" s="6"/>
      <c r="M227" s="6"/>
      <c r="N227" s="6"/>
      <c r="O227" s="6"/>
      <c r="P227" s="6"/>
      <c r="Q227" s="6"/>
      <c r="R227" s="6"/>
      <c r="S227" s="6"/>
      <c r="T227" s="6"/>
      <c r="U227" s="6"/>
      <c r="V227" s="6"/>
      <c r="W227" s="6"/>
      <c r="X227" s="6"/>
      <c r="Y227" s="6"/>
      <c r="Z227" s="6"/>
    </row>
    <row r="228" ht="15.75" customHeight="1">
      <c r="A228" s="6"/>
      <c r="B228" s="6"/>
      <c r="C228" s="53"/>
      <c r="D228" s="53"/>
      <c r="E228" s="53"/>
      <c r="F228" s="53"/>
      <c r="G228" s="53"/>
      <c r="H228" s="53"/>
      <c r="I228" s="6"/>
      <c r="J228" s="6"/>
      <c r="K228" s="54"/>
      <c r="L228" s="6"/>
      <c r="M228" s="6"/>
      <c r="N228" s="6"/>
      <c r="O228" s="6"/>
      <c r="P228" s="6"/>
      <c r="Q228" s="6"/>
      <c r="R228" s="6"/>
      <c r="S228" s="6"/>
      <c r="T228" s="6"/>
      <c r="U228" s="6"/>
      <c r="V228" s="6"/>
      <c r="W228" s="6"/>
      <c r="X228" s="6"/>
      <c r="Y228" s="6"/>
      <c r="Z228" s="6"/>
    </row>
    <row r="229" ht="15.75" customHeight="1">
      <c r="A229" s="6"/>
      <c r="B229" s="6"/>
      <c r="C229" s="53"/>
      <c r="D229" s="53"/>
      <c r="E229" s="53"/>
      <c r="F229" s="53"/>
      <c r="G229" s="53"/>
      <c r="H229" s="53"/>
      <c r="I229" s="6"/>
      <c r="J229" s="6"/>
      <c r="K229" s="54"/>
      <c r="L229" s="6"/>
      <c r="M229" s="6"/>
      <c r="N229" s="6"/>
      <c r="O229" s="6"/>
      <c r="P229" s="6"/>
      <c r="Q229" s="6"/>
      <c r="R229" s="6"/>
      <c r="S229" s="6"/>
      <c r="T229" s="6"/>
      <c r="U229" s="6"/>
      <c r="V229" s="6"/>
      <c r="W229" s="6"/>
      <c r="X229" s="6"/>
      <c r="Y229" s="6"/>
      <c r="Z229" s="6"/>
    </row>
    <row r="230" ht="15.75" customHeight="1">
      <c r="A230" s="6"/>
      <c r="B230" s="6"/>
      <c r="C230" s="53"/>
      <c r="D230" s="53"/>
      <c r="E230" s="53"/>
      <c r="F230" s="53"/>
      <c r="G230" s="53"/>
      <c r="H230" s="53"/>
      <c r="I230" s="6"/>
      <c r="J230" s="6"/>
      <c r="K230" s="54"/>
      <c r="L230" s="6"/>
      <c r="M230" s="6"/>
      <c r="N230" s="6"/>
      <c r="O230" s="6"/>
      <c r="P230" s="6"/>
      <c r="Q230" s="6"/>
      <c r="R230" s="6"/>
      <c r="S230" s="6"/>
      <c r="T230" s="6"/>
      <c r="U230" s="6"/>
      <c r="V230" s="6"/>
      <c r="W230" s="6"/>
      <c r="X230" s="6"/>
      <c r="Y230" s="6"/>
      <c r="Z230" s="6"/>
    </row>
    <row r="231" ht="15.75" customHeight="1">
      <c r="A231" s="6"/>
      <c r="B231" s="6"/>
      <c r="C231" s="53"/>
      <c r="D231" s="53"/>
      <c r="E231" s="53"/>
      <c r="F231" s="53"/>
      <c r="G231" s="53"/>
      <c r="H231" s="53"/>
      <c r="I231" s="6"/>
      <c r="J231" s="6"/>
      <c r="K231" s="54"/>
      <c r="L231" s="6"/>
      <c r="M231" s="6"/>
      <c r="N231" s="6"/>
      <c r="O231" s="6"/>
      <c r="P231" s="6"/>
      <c r="Q231" s="6"/>
      <c r="R231" s="6"/>
      <c r="S231" s="6"/>
      <c r="T231" s="6"/>
      <c r="U231" s="6"/>
      <c r="V231" s="6"/>
      <c r="W231" s="6"/>
      <c r="X231" s="6"/>
      <c r="Y231" s="6"/>
      <c r="Z231" s="6"/>
    </row>
    <row r="232" ht="15.75" customHeight="1">
      <c r="A232" s="6"/>
      <c r="B232" s="6"/>
      <c r="C232" s="53"/>
      <c r="D232" s="53"/>
      <c r="E232" s="53"/>
      <c r="F232" s="53"/>
      <c r="G232" s="53"/>
      <c r="H232" s="53"/>
      <c r="I232" s="6"/>
      <c r="J232" s="6"/>
      <c r="K232" s="54"/>
      <c r="L232" s="6"/>
      <c r="M232" s="6"/>
      <c r="N232" s="6"/>
      <c r="O232" s="6"/>
      <c r="P232" s="6"/>
      <c r="Q232" s="6"/>
      <c r="R232" s="6"/>
      <c r="S232" s="6"/>
      <c r="T232" s="6"/>
      <c r="U232" s="6"/>
      <c r="V232" s="6"/>
      <c r="W232" s="6"/>
      <c r="X232" s="6"/>
      <c r="Y232" s="6"/>
      <c r="Z232" s="6"/>
    </row>
    <row r="233" ht="15.75" customHeight="1">
      <c r="A233" s="6"/>
      <c r="B233" s="6"/>
      <c r="C233" s="53"/>
      <c r="D233" s="53"/>
      <c r="E233" s="53"/>
      <c r="F233" s="53"/>
      <c r="G233" s="53"/>
      <c r="H233" s="53"/>
      <c r="I233" s="6"/>
      <c r="J233" s="6"/>
      <c r="K233" s="54"/>
      <c r="L233" s="6"/>
      <c r="M233" s="6"/>
      <c r="N233" s="6"/>
      <c r="O233" s="6"/>
      <c r="P233" s="6"/>
      <c r="Q233" s="6"/>
      <c r="R233" s="6"/>
      <c r="S233" s="6"/>
      <c r="T233" s="6"/>
      <c r="U233" s="6"/>
      <c r="V233" s="6"/>
      <c r="W233" s="6"/>
      <c r="X233" s="6"/>
      <c r="Y233" s="6"/>
      <c r="Z233" s="6"/>
    </row>
    <row r="234" ht="15.75" customHeight="1">
      <c r="A234" s="6"/>
      <c r="B234" s="6"/>
      <c r="C234" s="53"/>
      <c r="D234" s="53"/>
      <c r="E234" s="53"/>
      <c r="F234" s="53"/>
      <c r="G234" s="53"/>
      <c r="H234" s="53"/>
      <c r="I234" s="6"/>
      <c r="J234" s="6"/>
      <c r="K234" s="54"/>
      <c r="L234" s="6"/>
      <c r="M234" s="6"/>
      <c r="N234" s="6"/>
      <c r="O234" s="6"/>
      <c r="P234" s="6"/>
      <c r="Q234" s="6"/>
      <c r="R234" s="6"/>
      <c r="S234" s="6"/>
      <c r="T234" s="6"/>
      <c r="U234" s="6"/>
      <c r="V234" s="6"/>
      <c r="W234" s="6"/>
      <c r="X234" s="6"/>
      <c r="Y234" s="6"/>
      <c r="Z234" s="6"/>
    </row>
    <row r="235" ht="15.75" customHeight="1">
      <c r="A235" s="6"/>
      <c r="B235" s="6"/>
      <c r="C235" s="53"/>
      <c r="D235" s="53"/>
      <c r="E235" s="53"/>
      <c r="F235" s="53"/>
      <c r="G235" s="53"/>
      <c r="H235" s="53"/>
      <c r="I235" s="6"/>
      <c r="J235" s="6"/>
      <c r="K235" s="54"/>
      <c r="L235" s="6"/>
      <c r="M235" s="6"/>
      <c r="N235" s="6"/>
      <c r="O235" s="6"/>
      <c r="P235" s="6"/>
      <c r="Q235" s="6"/>
      <c r="R235" s="6"/>
      <c r="S235" s="6"/>
      <c r="T235" s="6"/>
      <c r="U235" s="6"/>
      <c r="V235" s="6"/>
      <c r="W235" s="6"/>
      <c r="X235" s="6"/>
      <c r="Y235" s="6"/>
      <c r="Z235" s="6"/>
    </row>
    <row r="236" ht="15.75" customHeight="1">
      <c r="A236" s="6"/>
      <c r="B236" s="6"/>
      <c r="C236" s="53"/>
      <c r="D236" s="53"/>
      <c r="E236" s="53"/>
      <c r="F236" s="53"/>
      <c r="G236" s="53"/>
      <c r="H236" s="53"/>
      <c r="I236" s="6"/>
      <c r="J236" s="6"/>
      <c r="K236" s="54"/>
      <c r="L236" s="6"/>
      <c r="M236" s="6"/>
      <c r="N236" s="6"/>
      <c r="O236" s="6"/>
      <c r="P236" s="6"/>
      <c r="Q236" s="6"/>
      <c r="R236" s="6"/>
      <c r="S236" s="6"/>
      <c r="T236" s="6"/>
      <c r="U236" s="6"/>
      <c r="V236" s="6"/>
      <c r="W236" s="6"/>
      <c r="X236" s="6"/>
      <c r="Y236" s="6"/>
      <c r="Z236" s="6"/>
    </row>
    <row r="237" ht="15.75" customHeight="1">
      <c r="A237" s="6"/>
      <c r="B237" s="6"/>
      <c r="C237" s="53"/>
      <c r="D237" s="53"/>
      <c r="E237" s="53"/>
      <c r="F237" s="53"/>
      <c r="G237" s="53"/>
      <c r="H237" s="53"/>
      <c r="I237" s="6"/>
      <c r="J237" s="6"/>
      <c r="K237" s="54"/>
      <c r="L237" s="6"/>
      <c r="M237" s="6"/>
      <c r="N237" s="6"/>
      <c r="O237" s="6"/>
      <c r="P237" s="6"/>
      <c r="Q237" s="6"/>
      <c r="R237" s="6"/>
      <c r="S237" s="6"/>
      <c r="T237" s="6"/>
      <c r="U237" s="6"/>
      <c r="V237" s="6"/>
      <c r="W237" s="6"/>
      <c r="X237" s="6"/>
      <c r="Y237" s="6"/>
      <c r="Z237" s="6"/>
    </row>
    <row r="238" ht="15.75" customHeight="1">
      <c r="A238" s="6"/>
      <c r="B238" s="6"/>
      <c r="C238" s="53"/>
      <c r="D238" s="53"/>
      <c r="E238" s="53"/>
      <c r="F238" s="53"/>
      <c r="G238" s="53"/>
      <c r="H238" s="53"/>
      <c r="I238" s="6"/>
      <c r="J238" s="6"/>
      <c r="K238" s="54"/>
      <c r="L238" s="6"/>
      <c r="M238" s="6"/>
      <c r="N238" s="6"/>
      <c r="O238" s="6"/>
      <c r="P238" s="6"/>
      <c r="Q238" s="6"/>
      <c r="R238" s="6"/>
      <c r="S238" s="6"/>
      <c r="T238" s="6"/>
      <c r="U238" s="6"/>
      <c r="V238" s="6"/>
      <c r="W238" s="6"/>
      <c r="X238" s="6"/>
      <c r="Y238" s="6"/>
      <c r="Z238" s="6"/>
    </row>
    <row r="239" ht="15.75" customHeight="1">
      <c r="A239" s="6"/>
      <c r="B239" s="6"/>
      <c r="C239" s="53"/>
      <c r="D239" s="53"/>
      <c r="E239" s="53"/>
      <c r="F239" s="53"/>
      <c r="G239" s="53"/>
      <c r="H239" s="53"/>
      <c r="I239" s="6"/>
      <c r="J239" s="6"/>
      <c r="K239" s="54"/>
      <c r="L239" s="6"/>
      <c r="M239" s="6"/>
      <c r="N239" s="6"/>
      <c r="O239" s="6"/>
      <c r="P239" s="6"/>
      <c r="Q239" s="6"/>
      <c r="R239" s="6"/>
      <c r="S239" s="6"/>
      <c r="T239" s="6"/>
      <c r="U239" s="6"/>
      <c r="V239" s="6"/>
      <c r="W239" s="6"/>
      <c r="X239" s="6"/>
      <c r="Y239" s="6"/>
      <c r="Z239" s="6"/>
    </row>
    <row r="240" ht="15.75" customHeight="1">
      <c r="A240" s="6"/>
      <c r="B240" s="6"/>
      <c r="C240" s="53"/>
      <c r="D240" s="53"/>
      <c r="E240" s="53"/>
      <c r="F240" s="53"/>
      <c r="G240" s="53"/>
      <c r="H240" s="53"/>
      <c r="I240" s="6"/>
      <c r="J240" s="6"/>
      <c r="K240" s="54"/>
      <c r="L240" s="6"/>
      <c r="M240" s="6"/>
      <c r="N240" s="6"/>
      <c r="O240" s="6"/>
      <c r="P240" s="6"/>
      <c r="Q240" s="6"/>
      <c r="R240" s="6"/>
      <c r="S240" s="6"/>
      <c r="T240" s="6"/>
      <c r="U240" s="6"/>
      <c r="V240" s="6"/>
      <c r="W240" s="6"/>
      <c r="X240" s="6"/>
      <c r="Y240" s="6"/>
      <c r="Z240" s="6"/>
    </row>
    <row r="241" ht="15.75" customHeight="1">
      <c r="A241" s="6"/>
      <c r="B241" s="6"/>
      <c r="C241" s="53"/>
      <c r="D241" s="53"/>
      <c r="E241" s="53"/>
      <c r="F241" s="53"/>
      <c r="G241" s="53"/>
      <c r="H241" s="53"/>
      <c r="I241" s="6"/>
      <c r="J241" s="6"/>
      <c r="K241" s="54"/>
      <c r="L241" s="6"/>
      <c r="M241" s="6"/>
      <c r="N241" s="6"/>
      <c r="O241" s="6"/>
      <c r="P241" s="6"/>
      <c r="Q241" s="6"/>
      <c r="R241" s="6"/>
      <c r="S241" s="6"/>
      <c r="T241" s="6"/>
      <c r="U241" s="6"/>
      <c r="V241" s="6"/>
      <c r="W241" s="6"/>
      <c r="X241" s="6"/>
      <c r="Y241" s="6"/>
      <c r="Z241" s="6"/>
    </row>
    <row r="242" ht="15.75" customHeight="1">
      <c r="A242" s="6"/>
      <c r="B242" s="6"/>
      <c r="C242" s="53"/>
      <c r="D242" s="53"/>
      <c r="E242" s="53"/>
      <c r="F242" s="53"/>
      <c r="G242" s="53"/>
      <c r="H242" s="53"/>
      <c r="I242" s="6"/>
      <c r="J242" s="6"/>
      <c r="K242" s="54"/>
      <c r="L242" s="6"/>
      <c r="M242" s="6"/>
      <c r="N242" s="6"/>
      <c r="O242" s="6"/>
      <c r="P242" s="6"/>
      <c r="Q242" s="6"/>
      <c r="R242" s="6"/>
      <c r="S242" s="6"/>
      <c r="T242" s="6"/>
      <c r="U242" s="6"/>
      <c r="V242" s="6"/>
      <c r="W242" s="6"/>
      <c r="X242" s="6"/>
      <c r="Y242" s="6"/>
      <c r="Z242" s="6"/>
    </row>
    <row r="243" ht="15.75" customHeight="1">
      <c r="A243" s="6"/>
      <c r="B243" s="6"/>
      <c r="C243" s="53"/>
      <c r="D243" s="53"/>
      <c r="E243" s="53"/>
      <c r="F243" s="53"/>
      <c r="G243" s="53"/>
      <c r="H243" s="53"/>
      <c r="I243" s="6"/>
      <c r="J243" s="6"/>
      <c r="K243" s="54"/>
      <c r="L243" s="6"/>
      <c r="M243" s="6"/>
      <c r="N243" s="6"/>
      <c r="O243" s="6"/>
      <c r="P243" s="6"/>
      <c r="Q243" s="6"/>
      <c r="R243" s="6"/>
      <c r="S243" s="6"/>
      <c r="T243" s="6"/>
      <c r="U243" s="6"/>
      <c r="V243" s="6"/>
      <c r="W243" s="6"/>
      <c r="X243" s="6"/>
      <c r="Y243" s="6"/>
      <c r="Z243" s="6"/>
    </row>
    <row r="244" ht="15.75" customHeight="1">
      <c r="A244" s="6"/>
      <c r="B244" s="6"/>
      <c r="C244" s="53"/>
      <c r="D244" s="53"/>
      <c r="E244" s="53"/>
      <c r="F244" s="53"/>
      <c r="G244" s="53"/>
      <c r="H244" s="53"/>
      <c r="I244" s="6"/>
      <c r="J244" s="6"/>
      <c r="K244" s="54"/>
      <c r="L244" s="6"/>
      <c r="M244" s="6"/>
      <c r="N244" s="6"/>
      <c r="O244" s="6"/>
      <c r="P244" s="6"/>
      <c r="Q244" s="6"/>
      <c r="R244" s="6"/>
      <c r="S244" s="6"/>
      <c r="T244" s="6"/>
      <c r="U244" s="6"/>
      <c r="V244" s="6"/>
      <c r="W244" s="6"/>
      <c r="X244" s="6"/>
      <c r="Y244" s="6"/>
      <c r="Z244" s="6"/>
    </row>
    <row r="245" ht="15.75" customHeight="1">
      <c r="A245" s="6"/>
      <c r="B245" s="6"/>
      <c r="C245" s="53"/>
      <c r="D245" s="53"/>
      <c r="E245" s="53"/>
      <c r="F245" s="53"/>
      <c r="G245" s="53"/>
      <c r="H245" s="53"/>
      <c r="I245" s="6"/>
      <c r="J245" s="6"/>
      <c r="K245" s="54"/>
      <c r="L245" s="6"/>
      <c r="M245" s="6"/>
      <c r="N245" s="6"/>
      <c r="O245" s="6"/>
      <c r="P245" s="6"/>
      <c r="Q245" s="6"/>
      <c r="R245" s="6"/>
      <c r="S245" s="6"/>
      <c r="T245" s="6"/>
      <c r="U245" s="6"/>
      <c r="V245" s="6"/>
      <c r="W245" s="6"/>
      <c r="X245" s="6"/>
      <c r="Y245" s="6"/>
      <c r="Z245" s="6"/>
    </row>
    <row r="246" ht="15.75" customHeight="1">
      <c r="A246" s="6"/>
      <c r="B246" s="6"/>
      <c r="C246" s="53"/>
      <c r="D246" s="53"/>
      <c r="E246" s="53"/>
      <c r="F246" s="53"/>
      <c r="G246" s="53"/>
      <c r="H246" s="53"/>
      <c r="I246" s="6"/>
      <c r="J246" s="6"/>
      <c r="K246" s="54"/>
      <c r="L246" s="6"/>
      <c r="M246" s="6"/>
      <c r="N246" s="6"/>
      <c r="O246" s="6"/>
      <c r="P246" s="6"/>
      <c r="Q246" s="6"/>
      <c r="R246" s="6"/>
      <c r="S246" s="6"/>
      <c r="T246" s="6"/>
      <c r="U246" s="6"/>
      <c r="V246" s="6"/>
      <c r="W246" s="6"/>
      <c r="X246" s="6"/>
      <c r="Y246" s="6"/>
      <c r="Z246" s="6"/>
    </row>
    <row r="247" ht="15.75" customHeight="1">
      <c r="A247" s="6"/>
      <c r="B247" s="6"/>
      <c r="C247" s="53"/>
      <c r="D247" s="53"/>
      <c r="E247" s="53"/>
      <c r="F247" s="53"/>
      <c r="G247" s="53"/>
      <c r="H247" s="53"/>
      <c r="I247" s="6"/>
      <c r="J247" s="6"/>
      <c r="K247" s="54"/>
      <c r="L247" s="6"/>
      <c r="M247" s="6"/>
      <c r="N247" s="6"/>
      <c r="O247" s="6"/>
      <c r="P247" s="6"/>
      <c r="Q247" s="6"/>
      <c r="R247" s="6"/>
      <c r="S247" s="6"/>
      <c r="T247" s="6"/>
      <c r="U247" s="6"/>
      <c r="V247" s="6"/>
      <c r="W247" s="6"/>
      <c r="X247" s="6"/>
      <c r="Y247" s="6"/>
      <c r="Z247" s="6"/>
    </row>
    <row r="248" ht="15.75" customHeight="1">
      <c r="A248" s="6"/>
      <c r="B248" s="6"/>
      <c r="C248" s="53"/>
      <c r="D248" s="53"/>
      <c r="E248" s="53"/>
      <c r="F248" s="53"/>
      <c r="G248" s="53"/>
      <c r="H248" s="53"/>
      <c r="I248" s="6"/>
      <c r="J248" s="6"/>
      <c r="K248" s="54"/>
      <c r="L248" s="6"/>
      <c r="M248" s="6"/>
      <c r="N248" s="6"/>
      <c r="O248" s="6"/>
      <c r="P248" s="6"/>
      <c r="Q248" s="6"/>
      <c r="R248" s="6"/>
      <c r="S248" s="6"/>
      <c r="T248" s="6"/>
      <c r="U248" s="6"/>
      <c r="V248" s="6"/>
      <c r="W248" s="6"/>
      <c r="X248" s="6"/>
      <c r="Y248" s="6"/>
      <c r="Z248" s="6"/>
    </row>
    <row r="249" ht="15.75" customHeight="1">
      <c r="A249" s="6"/>
      <c r="B249" s="6"/>
      <c r="C249" s="53"/>
      <c r="D249" s="53"/>
      <c r="E249" s="53"/>
      <c r="F249" s="53"/>
      <c r="G249" s="53"/>
      <c r="H249" s="53"/>
      <c r="I249" s="6"/>
      <c r="J249" s="6"/>
      <c r="K249" s="54"/>
      <c r="L249" s="6"/>
      <c r="M249" s="6"/>
      <c r="N249" s="6"/>
      <c r="O249" s="6"/>
      <c r="P249" s="6"/>
      <c r="Q249" s="6"/>
      <c r="R249" s="6"/>
      <c r="S249" s="6"/>
      <c r="T249" s="6"/>
      <c r="U249" s="6"/>
      <c r="V249" s="6"/>
      <c r="W249" s="6"/>
      <c r="X249" s="6"/>
      <c r="Y249" s="6"/>
      <c r="Z249" s="6"/>
    </row>
    <row r="250" ht="15.75" customHeight="1">
      <c r="A250" s="6"/>
      <c r="B250" s="6"/>
      <c r="C250" s="53"/>
      <c r="D250" s="53"/>
      <c r="E250" s="53"/>
      <c r="F250" s="53"/>
      <c r="G250" s="53"/>
      <c r="H250" s="53"/>
      <c r="I250" s="6"/>
      <c r="J250" s="6"/>
      <c r="K250" s="54"/>
      <c r="L250" s="6"/>
      <c r="M250" s="6"/>
      <c r="N250" s="6"/>
      <c r="O250" s="6"/>
      <c r="P250" s="6"/>
      <c r="Q250" s="6"/>
      <c r="R250" s="6"/>
      <c r="S250" s="6"/>
      <c r="T250" s="6"/>
      <c r="U250" s="6"/>
      <c r="V250" s="6"/>
      <c r="W250" s="6"/>
      <c r="X250" s="6"/>
      <c r="Y250" s="6"/>
      <c r="Z250" s="6"/>
    </row>
    <row r="251" ht="15.75" customHeight="1">
      <c r="A251" s="6"/>
      <c r="B251" s="6"/>
      <c r="C251" s="53"/>
      <c r="D251" s="53"/>
      <c r="E251" s="53"/>
      <c r="F251" s="53"/>
      <c r="G251" s="53"/>
      <c r="H251" s="53"/>
      <c r="I251" s="6"/>
      <c r="J251" s="6"/>
      <c r="K251" s="54"/>
      <c r="L251" s="6"/>
      <c r="M251" s="6"/>
      <c r="N251" s="6"/>
      <c r="O251" s="6"/>
      <c r="P251" s="6"/>
      <c r="Q251" s="6"/>
      <c r="R251" s="6"/>
      <c r="S251" s="6"/>
      <c r="T251" s="6"/>
      <c r="U251" s="6"/>
      <c r="V251" s="6"/>
      <c r="W251" s="6"/>
      <c r="X251" s="6"/>
      <c r="Y251" s="6"/>
      <c r="Z251" s="6"/>
    </row>
    <row r="252" ht="15.75" customHeight="1">
      <c r="A252" s="6"/>
      <c r="B252" s="6"/>
      <c r="C252" s="53"/>
      <c r="D252" s="53"/>
      <c r="E252" s="53"/>
      <c r="F252" s="53"/>
      <c r="G252" s="53"/>
      <c r="H252" s="53"/>
      <c r="I252" s="6"/>
      <c r="J252" s="6"/>
      <c r="K252" s="54"/>
      <c r="L252" s="6"/>
      <c r="M252" s="6"/>
      <c r="N252" s="6"/>
      <c r="O252" s="6"/>
      <c r="P252" s="6"/>
      <c r="Q252" s="6"/>
      <c r="R252" s="6"/>
      <c r="S252" s="6"/>
      <c r="T252" s="6"/>
      <c r="U252" s="6"/>
      <c r="V252" s="6"/>
      <c r="W252" s="6"/>
      <c r="X252" s="6"/>
      <c r="Y252" s="6"/>
      <c r="Z252" s="6"/>
    </row>
    <row r="253" ht="15.75" customHeight="1">
      <c r="A253" s="6"/>
      <c r="B253" s="6"/>
      <c r="C253" s="53"/>
      <c r="D253" s="53"/>
      <c r="E253" s="53"/>
      <c r="F253" s="53"/>
      <c r="G253" s="53"/>
      <c r="H253" s="53"/>
      <c r="I253" s="6"/>
      <c r="J253" s="6"/>
      <c r="K253" s="54"/>
      <c r="L253" s="6"/>
      <c r="M253" s="6"/>
      <c r="N253" s="6"/>
      <c r="O253" s="6"/>
      <c r="P253" s="6"/>
      <c r="Q253" s="6"/>
      <c r="R253" s="6"/>
      <c r="S253" s="6"/>
      <c r="T253" s="6"/>
      <c r="U253" s="6"/>
      <c r="V253" s="6"/>
      <c r="W253" s="6"/>
      <c r="X253" s="6"/>
      <c r="Y253" s="6"/>
      <c r="Z253" s="6"/>
    </row>
    <row r="254" ht="15.75" customHeight="1">
      <c r="A254" s="6"/>
      <c r="B254" s="6"/>
      <c r="C254" s="53"/>
      <c r="D254" s="53"/>
      <c r="E254" s="53"/>
      <c r="F254" s="53"/>
      <c r="G254" s="53"/>
      <c r="H254" s="53"/>
      <c r="I254" s="6"/>
      <c r="J254" s="6"/>
      <c r="K254" s="54"/>
      <c r="L254" s="6"/>
      <c r="M254" s="6"/>
      <c r="N254" s="6"/>
      <c r="O254" s="6"/>
      <c r="P254" s="6"/>
      <c r="Q254" s="6"/>
      <c r="R254" s="6"/>
      <c r="S254" s="6"/>
      <c r="T254" s="6"/>
      <c r="U254" s="6"/>
      <c r="V254" s="6"/>
      <c r="W254" s="6"/>
      <c r="X254" s="6"/>
      <c r="Y254" s="6"/>
      <c r="Z254" s="6"/>
    </row>
    <row r="255" ht="15.75" customHeight="1">
      <c r="A255" s="6"/>
      <c r="B255" s="6"/>
      <c r="C255" s="53"/>
      <c r="D255" s="53"/>
      <c r="E255" s="53"/>
      <c r="F255" s="53"/>
      <c r="G255" s="53"/>
      <c r="H255" s="53"/>
      <c r="I255" s="6"/>
      <c r="J255" s="6"/>
      <c r="K255" s="54"/>
      <c r="L255" s="6"/>
      <c r="M255" s="6"/>
      <c r="N255" s="6"/>
      <c r="O255" s="6"/>
      <c r="P255" s="6"/>
      <c r="Q255" s="6"/>
      <c r="R255" s="6"/>
      <c r="S255" s="6"/>
      <c r="T255" s="6"/>
      <c r="U255" s="6"/>
      <c r="V255" s="6"/>
      <c r="W255" s="6"/>
      <c r="X255" s="6"/>
      <c r="Y255" s="6"/>
      <c r="Z255" s="6"/>
    </row>
    <row r="256" ht="15.75" customHeight="1">
      <c r="A256" s="6"/>
      <c r="B256" s="6"/>
      <c r="C256" s="53"/>
      <c r="D256" s="53"/>
      <c r="E256" s="53"/>
      <c r="F256" s="53"/>
      <c r="G256" s="53"/>
      <c r="H256" s="53"/>
      <c r="I256" s="6"/>
      <c r="J256" s="6"/>
      <c r="K256" s="54"/>
      <c r="L256" s="6"/>
      <c r="M256" s="6"/>
      <c r="N256" s="6"/>
      <c r="O256" s="6"/>
      <c r="P256" s="6"/>
      <c r="Q256" s="6"/>
      <c r="R256" s="6"/>
      <c r="S256" s="6"/>
      <c r="T256" s="6"/>
      <c r="U256" s="6"/>
      <c r="V256" s="6"/>
      <c r="W256" s="6"/>
      <c r="X256" s="6"/>
      <c r="Y256" s="6"/>
      <c r="Z256" s="6"/>
    </row>
    <row r="257" ht="15.75" customHeight="1">
      <c r="A257" s="6"/>
      <c r="B257" s="6"/>
      <c r="C257" s="53"/>
      <c r="D257" s="53"/>
      <c r="E257" s="53"/>
      <c r="F257" s="53"/>
      <c r="G257" s="53"/>
      <c r="H257" s="53"/>
      <c r="I257" s="6"/>
      <c r="J257" s="6"/>
      <c r="K257" s="54"/>
      <c r="L257" s="6"/>
      <c r="M257" s="6"/>
      <c r="N257" s="6"/>
      <c r="O257" s="6"/>
      <c r="P257" s="6"/>
      <c r="Q257" s="6"/>
      <c r="R257" s="6"/>
      <c r="S257" s="6"/>
      <c r="T257" s="6"/>
      <c r="U257" s="6"/>
      <c r="V257" s="6"/>
      <c r="W257" s="6"/>
      <c r="X257" s="6"/>
      <c r="Y257" s="6"/>
      <c r="Z257" s="6"/>
    </row>
    <row r="258" ht="15.75" customHeight="1">
      <c r="A258" s="6"/>
      <c r="B258" s="6"/>
      <c r="C258" s="53"/>
      <c r="D258" s="53"/>
      <c r="E258" s="53"/>
      <c r="F258" s="53"/>
      <c r="G258" s="53"/>
      <c r="H258" s="53"/>
      <c r="I258" s="6"/>
      <c r="J258" s="6"/>
      <c r="K258" s="54"/>
      <c r="L258" s="6"/>
      <c r="M258" s="6"/>
      <c r="N258" s="6"/>
      <c r="O258" s="6"/>
      <c r="P258" s="6"/>
      <c r="Q258" s="6"/>
      <c r="R258" s="6"/>
      <c r="S258" s="6"/>
      <c r="T258" s="6"/>
      <c r="U258" s="6"/>
      <c r="V258" s="6"/>
      <c r="W258" s="6"/>
      <c r="X258" s="6"/>
      <c r="Y258" s="6"/>
      <c r="Z258" s="6"/>
    </row>
    <row r="259" ht="15.75" customHeight="1">
      <c r="A259" s="6"/>
      <c r="B259" s="6"/>
      <c r="C259" s="53"/>
      <c r="D259" s="53"/>
      <c r="E259" s="53"/>
      <c r="F259" s="53"/>
      <c r="G259" s="53"/>
      <c r="H259" s="53"/>
      <c r="I259" s="6"/>
      <c r="J259" s="6"/>
      <c r="K259" s="54"/>
      <c r="L259" s="6"/>
      <c r="M259" s="6"/>
      <c r="N259" s="6"/>
      <c r="O259" s="6"/>
      <c r="P259" s="6"/>
      <c r="Q259" s="6"/>
      <c r="R259" s="6"/>
      <c r="S259" s="6"/>
      <c r="T259" s="6"/>
      <c r="U259" s="6"/>
      <c r="V259" s="6"/>
      <c r="W259" s="6"/>
      <c r="X259" s="6"/>
      <c r="Y259" s="6"/>
      <c r="Z259" s="6"/>
    </row>
    <row r="260" ht="15.75" customHeight="1">
      <c r="A260" s="6"/>
      <c r="B260" s="6"/>
      <c r="C260" s="53"/>
      <c r="D260" s="53"/>
      <c r="E260" s="53"/>
      <c r="F260" s="53"/>
      <c r="G260" s="53"/>
      <c r="H260" s="53"/>
      <c r="I260" s="6"/>
      <c r="J260" s="6"/>
      <c r="K260" s="54"/>
      <c r="L260" s="6"/>
      <c r="M260" s="6"/>
      <c r="N260" s="6"/>
      <c r="O260" s="6"/>
      <c r="P260" s="6"/>
      <c r="Q260" s="6"/>
      <c r="R260" s="6"/>
      <c r="S260" s="6"/>
      <c r="T260" s="6"/>
      <c r="U260" s="6"/>
      <c r="V260" s="6"/>
      <c r="W260" s="6"/>
      <c r="X260" s="6"/>
      <c r="Y260" s="6"/>
      <c r="Z260" s="6"/>
    </row>
    <row r="261" ht="15.75" customHeight="1">
      <c r="A261" s="6"/>
      <c r="B261" s="6"/>
      <c r="C261" s="53"/>
      <c r="D261" s="53"/>
      <c r="E261" s="53"/>
      <c r="F261" s="53"/>
      <c r="G261" s="53"/>
      <c r="H261" s="53"/>
      <c r="I261" s="6"/>
      <c r="J261" s="6"/>
      <c r="K261" s="54"/>
      <c r="L261" s="6"/>
      <c r="M261" s="6"/>
      <c r="N261" s="6"/>
      <c r="O261" s="6"/>
      <c r="P261" s="6"/>
      <c r="Q261" s="6"/>
      <c r="R261" s="6"/>
      <c r="S261" s="6"/>
      <c r="T261" s="6"/>
      <c r="U261" s="6"/>
      <c r="V261" s="6"/>
      <c r="W261" s="6"/>
      <c r="X261" s="6"/>
      <c r="Y261" s="6"/>
      <c r="Z261" s="6"/>
    </row>
    <row r="262" ht="15.75" customHeight="1">
      <c r="A262" s="6"/>
      <c r="B262" s="6"/>
      <c r="C262" s="53"/>
      <c r="D262" s="53"/>
      <c r="E262" s="53"/>
      <c r="F262" s="53"/>
      <c r="G262" s="53"/>
      <c r="H262" s="53"/>
      <c r="I262" s="6"/>
      <c r="J262" s="6"/>
      <c r="K262" s="54"/>
      <c r="L262" s="6"/>
      <c r="M262" s="6"/>
      <c r="N262" s="6"/>
      <c r="O262" s="6"/>
      <c r="P262" s="6"/>
      <c r="Q262" s="6"/>
      <c r="R262" s="6"/>
      <c r="S262" s="6"/>
      <c r="T262" s="6"/>
      <c r="U262" s="6"/>
      <c r="V262" s="6"/>
      <c r="W262" s="6"/>
      <c r="X262" s="6"/>
      <c r="Y262" s="6"/>
      <c r="Z262" s="6"/>
    </row>
    <row r="263" ht="15.75" customHeight="1">
      <c r="A263" s="6"/>
      <c r="B263" s="6"/>
      <c r="C263" s="53"/>
      <c r="D263" s="53"/>
      <c r="E263" s="53"/>
      <c r="F263" s="53"/>
      <c r="G263" s="53"/>
      <c r="H263" s="53"/>
      <c r="I263" s="6"/>
      <c r="J263" s="6"/>
      <c r="K263" s="54"/>
      <c r="L263" s="6"/>
      <c r="M263" s="6"/>
      <c r="N263" s="6"/>
      <c r="O263" s="6"/>
      <c r="P263" s="6"/>
      <c r="Q263" s="6"/>
      <c r="R263" s="6"/>
      <c r="S263" s="6"/>
      <c r="T263" s="6"/>
      <c r="U263" s="6"/>
      <c r="V263" s="6"/>
      <c r="W263" s="6"/>
      <c r="X263" s="6"/>
      <c r="Y263" s="6"/>
      <c r="Z263" s="6"/>
    </row>
    <row r="264" ht="15.75" customHeight="1">
      <c r="A264" s="6"/>
      <c r="B264" s="6"/>
      <c r="C264" s="53"/>
      <c r="D264" s="53"/>
      <c r="E264" s="53"/>
      <c r="F264" s="53"/>
      <c r="G264" s="53"/>
      <c r="H264" s="53"/>
      <c r="I264" s="6"/>
      <c r="J264" s="6"/>
      <c r="K264" s="54"/>
      <c r="L264" s="6"/>
      <c r="M264" s="6"/>
      <c r="N264" s="6"/>
      <c r="O264" s="6"/>
      <c r="P264" s="6"/>
      <c r="Q264" s="6"/>
      <c r="R264" s="6"/>
      <c r="S264" s="6"/>
      <c r="T264" s="6"/>
      <c r="U264" s="6"/>
      <c r="V264" s="6"/>
      <c r="W264" s="6"/>
      <c r="X264" s="6"/>
      <c r="Y264" s="6"/>
      <c r="Z264" s="6"/>
    </row>
    <row r="265" ht="15.75" customHeight="1">
      <c r="A265" s="6"/>
      <c r="B265" s="6"/>
      <c r="C265" s="53"/>
      <c r="D265" s="53"/>
      <c r="E265" s="53"/>
      <c r="F265" s="53"/>
      <c r="G265" s="53"/>
      <c r="H265" s="53"/>
      <c r="I265" s="6"/>
      <c r="J265" s="6"/>
      <c r="K265" s="54"/>
      <c r="L265" s="6"/>
      <c r="M265" s="6"/>
      <c r="N265" s="6"/>
      <c r="O265" s="6"/>
      <c r="P265" s="6"/>
      <c r="Q265" s="6"/>
      <c r="R265" s="6"/>
      <c r="S265" s="6"/>
      <c r="T265" s="6"/>
      <c r="U265" s="6"/>
      <c r="V265" s="6"/>
      <c r="W265" s="6"/>
      <c r="X265" s="6"/>
      <c r="Y265" s="6"/>
      <c r="Z265" s="6"/>
    </row>
    <row r="266" ht="15.75" customHeight="1">
      <c r="A266" s="6"/>
      <c r="B266" s="6"/>
      <c r="C266" s="53"/>
      <c r="D266" s="53"/>
      <c r="E266" s="53"/>
      <c r="F266" s="53"/>
      <c r="G266" s="53"/>
      <c r="H266" s="53"/>
      <c r="I266" s="6"/>
      <c r="J266" s="6"/>
      <c r="K266" s="54"/>
      <c r="L266" s="6"/>
      <c r="M266" s="6"/>
      <c r="N266" s="6"/>
      <c r="O266" s="6"/>
      <c r="P266" s="6"/>
      <c r="Q266" s="6"/>
      <c r="R266" s="6"/>
      <c r="S266" s="6"/>
      <c r="T266" s="6"/>
      <c r="U266" s="6"/>
      <c r="V266" s="6"/>
      <c r="W266" s="6"/>
      <c r="X266" s="6"/>
      <c r="Y266" s="6"/>
      <c r="Z266" s="6"/>
    </row>
    <row r="267" ht="15.75" customHeight="1">
      <c r="A267" s="6"/>
      <c r="B267" s="6"/>
      <c r="C267" s="53"/>
      <c r="D267" s="53"/>
      <c r="E267" s="53"/>
      <c r="F267" s="53"/>
      <c r="G267" s="53"/>
      <c r="H267" s="53"/>
      <c r="I267" s="6"/>
      <c r="J267" s="6"/>
      <c r="K267" s="54"/>
      <c r="L267" s="6"/>
      <c r="M267" s="6"/>
      <c r="N267" s="6"/>
      <c r="O267" s="6"/>
      <c r="P267" s="6"/>
      <c r="Q267" s="6"/>
      <c r="R267" s="6"/>
      <c r="S267" s="6"/>
      <c r="T267" s="6"/>
      <c r="U267" s="6"/>
      <c r="V267" s="6"/>
      <c r="W267" s="6"/>
      <c r="X267" s="6"/>
      <c r="Y267" s="6"/>
      <c r="Z267" s="6"/>
    </row>
    <row r="268" ht="15.75" customHeight="1">
      <c r="A268" s="6"/>
      <c r="B268" s="6"/>
      <c r="C268" s="53"/>
      <c r="D268" s="53"/>
      <c r="E268" s="53"/>
      <c r="F268" s="53"/>
      <c r="G268" s="53"/>
      <c r="H268" s="53"/>
      <c r="I268" s="6"/>
      <c r="J268" s="6"/>
      <c r="K268" s="54"/>
      <c r="L268" s="6"/>
      <c r="M268" s="6"/>
      <c r="N268" s="6"/>
      <c r="O268" s="6"/>
      <c r="P268" s="6"/>
      <c r="Q268" s="6"/>
      <c r="R268" s="6"/>
      <c r="S268" s="6"/>
      <c r="T268" s="6"/>
      <c r="U268" s="6"/>
      <c r="V268" s="6"/>
      <c r="W268" s="6"/>
      <c r="X268" s="6"/>
      <c r="Y268" s="6"/>
      <c r="Z268" s="6"/>
    </row>
    <row r="269" ht="15.75" customHeight="1">
      <c r="A269" s="6"/>
      <c r="B269" s="6"/>
      <c r="C269" s="53"/>
      <c r="D269" s="53"/>
      <c r="E269" s="53"/>
      <c r="F269" s="53"/>
      <c r="G269" s="53"/>
      <c r="H269" s="53"/>
      <c r="I269" s="6"/>
      <c r="J269" s="6"/>
      <c r="K269" s="54"/>
      <c r="L269" s="6"/>
      <c r="M269" s="6"/>
      <c r="N269" s="6"/>
      <c r="O269" s="6"/>
      <c r="P269" s="6"/>
      <c r="Q269" s="6"/>
      <c r="R269" s="6"/>
      <c r="S269" s="6"/>
      <c r="T269" s="6"/>
      <c r="U269" s="6"/>
      <c r="V269" s="6"/>
      <c r="W269" s="6"/>
      <c r="X269" s="6"/>
      <c r="Y269" s="6"/>
      <c r="Z269" s="6"/>
    </row>
    <row r="270" ht="15.75" customHeight="1">
      <c r="A270" s="6"/>
      <c r="B270" s="6"/>
      <c r="C270" s="53"/>
      <c r="D270" s="53"/>
      <c r="E270" s="53"/>
      <c r="F270" s="53"/>
      <c r="G270" s="53"/>
      <c r="H270" s="53"/>
      <c r="I270" s="6"/>
      <c r="J270" s="6"/>
      <c r="K270" s="54"/>
      <c r="L270" s="6"/>
      <c r="M270" s="6"/>
      <c r="N270" s="6"/>
      <c r="O270" s="6"/>
      <c r="P270" s="6"/>
      <c r="Q270" s="6"/>
      <c r="R270" s="6"/>
      <c r="S270" s="6"/>
      <c r="T270" s="6"/>
      <c r="U270" s="6"/>
      <c r="V270" s="6"/>
      <c r="W270" s="6"/>
      <c r="X270" s="6"/>
      <c r="Y270" s="6"/>
      <c r="Z270" s="6"/>
    </row>
    <row r="271" ht="15.75" customHeight="1">
      <c r="A271" s="6"/>
      <c r="B271" s="6"/>
      <c r="C271" s="53"/>
      <c r="D271" s="53"/>
      <c r="E271" s="53"/>
      <c r="F271" s="53"/>
      <c r="G271" s="53"/>
      <c r="H271" s="53"/>
      <c r="I271" s="6"/>
      <c r="J271" s="6"/>
      <c r="K271" s="54"/>
      <c r="L271" s="6"/>
      <c r="M271" s="6"/>
      <c r="N271" s="6"/>
      <c r="O271" s="6"/>
      <c r="P271" s="6"/>
      <c r="Q271" s="6"/>
      <c r="R271" s="6"/>
      <c r="S271" s="6"/>
      <c r="T271" s="6"/>
      <c r="U271" s="6"/>
      <c r="V271" s="6"/>
      <c r="W271" s="6"/>
      <c r="X271" s="6"/>
      <c r="Y271" s="6"/>
      <c r="Z271" s="6"/>
    </row>
    <row r="272" ht="15.75" customHeight="1">
      <c r="A272" s="6"/>
      <c r="B272" s="6"/>
      <c r="C272" s="53"/>
      <c r="D272" s="53"/>
      <c r="E272" s="53"/>
      <c r="F272" s="53"/>
      <c r="G272" s="53"/>
      <c r="H272" s="53"/>
      <c r="I272" s="6"/>
      <c r="J272" s="6"/>
      <c r="K272" s="54"/>
      <c r="L272" s="6"/>
      <c r="M272" s="6"/>
      <c r="N272" s="6"/>
      <c r="O272" s="6"/>
      <c r="P272" s="6"/>
      <c r="Q272" s="6"/>
      <c r="R272" s="6"/>
      <c r="S272" s="6"/>
      <c r="T272" s="6"/>
      <c r="U272" s="6"/>
      <c r="V272" s="6"/>
      <c r="W272" s="6"/>
      <c r="X272" s="6"/>
      <c r="Y272" s="6"/>
      <c r="Z272" s="6"/>
    </row>
    <row r="273" ht="15.75" customHeight="1">
      <c r="A273" s="6"/>
      <c r="B273" s="6"/>
      <c r="C273" s="53"/>
      <c r="D273" s="53"/>
      <c r="E273" s="53"/>
      <c r="F273" s="53"/>
      <c r="G273" s="53"/>
      <c r="H273" s="53"/>
      <c r="I273" s="6"/>
      <c r="J273" s="6"/>
      <c r="K273" s="54"/>
      <c r="L273" s="6"/>
      <c r="M273" s="6"/>
      <c r="N273" s="6"/>
      <c r="O273" s="6"/>
      <c r="P273" s="6"/>
      <c r="Q273" s="6"/>
      <c r="R273" s="6"/>
      <c r="S273" s="6"/>
      <c r="T273" s="6"/>
      <c r="U273" s="6"/>
      <c r="V273" s="6"/>
      <c r="W273" s="6"/>
      <c r="X273" s="6"/>
      <c r="Y273" s="6"/>
      <c r="Z273" s="6"/>
    </row>
    <row r="274" ht="15.75" customHeight="1">
      <c r="A274" s="6"/>
      <c r="B274" s="6"/>
      <c r="C274" s="53"/>
      <c r="D274" s="53"/>
      <c r="E274" s="53"/>
      <c r="F274" s="53"/>
      <c r="G274" s="53"/>
      <c r="H274" s="53"/>
      <c r="I274" s="6"/>
      <c r="J274" s="6"/>
      <c r="K274" s="54"/>
      <c r="L274" s="6"/>
      <c r="M274" s="6"/>
      <c r="N274" s="6"/>
      <c r="O274" s="6"/>
      <c r="P274" s="6"/>
      <c r="Q274" s="6"/>
      <c r="R274" s="6"/>
      <c r="S274" s="6"/>
      <c r="T274" s="6"/>
      <c r="U274" s="6"/>
      <c r="V274" s="6"/>
      <c r="W274" s="6"/>
      <c r="X274" s="6"/>
      <c r="Y274" s="6"/>
      <c r="Z274" s="6"/>
    </row>
    <row r="275" ht="15.75" customHeight="1">
      <c r="A275" s="6"/>
      <c r="B275" s="6"/>
      <c r="C275" s="53"/>
      <c r="D275" s="53"/>
      <c r="E275" s="53"/>
      <c r="F275" s="53"/>
      <c r="G275" s="53"/>
      <c r="H275" s="53"/>
      <c r="I275" s="6"/>
      <c r="J275" s="6"/>
      <c r="K275" s="54"/>
      <c r="L275" s="6"/>
      <c r="M275" s="6"/>
      <c r="N275" s="6"/>
      <c r="O275" s="6"/>
      <c r="P275" s="6"/>
      <c r="Q275" s="6"/>
      <c r="R275" s="6"/>
      <c r="S275" s="6"/>
      <c r="T275" s="6"/>
      <c r="U275" s="6"/>
      <c r="V275" s="6"/>
      <c r="W275" s="6"/>
      <c r="X275" s="6"/>
      <c r="Y275" s="6"/>
      <c r="Z275" s="6"/>
    </row>
    <row r="276" ht="15.75" customHeight="1">
      <c r="A276" s="6"/>
      <c r="B276" s="6"/>
      <c r="C276" s="53"/>
      <c r="D276" s="53"/>
      <c r="E276" s="53"/>
      <c r="F276" s="53"/>
      <c r="G276" s="53"/>
      <c r="H276" s="53"/>
      <c r="I276" s="6"/>
      <c r="J276" s="6"/>
      <c r="K276" s="54"/>
      <c r="L276" s="6"/>
      <c r="M276" s="6"/>
      <c r="N276" s="6"/>
      <c r="O276" s="6"/>
      <c r="P276" s="6"/>
      <c r="Q276" s="6"/>
      <c r="R276" s="6"/>
      <c r="S276" s="6"/>
      <c r="T276" s="6"/>
      <c r="U276" s="6"/>
      <c r="V276" s="6"/>
      <c r="W276" s="6"/>
      <c r="X276" s="6"/>
      <c r="Y276" s="6"/>
      <c r="Z276" s="6"/>
    </row>
    <row r="277" ht="15.75" customHeight="1">
      <c r="A277" s="6"/>
      <c r="B277" s="6"/>
      <c r="C277" s="53"/>
      <c r="D277" s="53"/>
      <c r="E277" s="53"/>
      <c r="F277" s="53"/>
      <c r="G277" s="53"/>
      <c r="H277" s="53"/>
      <c r="I277" s="6"/>
      <c r="J277" s="6"/>
      <c r="K277" s="54"/>
      <c r="L277" s="6"/>
      <c r="M277" s="6"/>
      <c r="N277" s="6"/>
      <c r="O277" s="6"/>
      <c r="P277" s="6"/>
      <c r="Q277" s="6"/>
      <c r="R277" s="6"/>
      <c r="S277" s="6"/>
      <c r="T277" s="6"/>
      <c r="U277" s="6"/>
      <c r="V277" s="6"/>
      <c r="W277" s="6"/>
      <c r="X277" s="6"/>
      <c r="Y277" s="6"/>
      <c r="Z277" s="6"/>
    </row>
    <row r="278" ht="15.75" customHeight="1">
      <c r="A278" s="6"/>
      <c r="B278" s="6"/>
      <c r="C278" s="53"/>
      <c r="D278" s="53"/>
      <c r="E278" s="53"/>
      <c r="F278" s="53"/>
      <c r="G278" s="53"/>
      <c r="H278" s="53"/>
      <c r="I278" s="6"/>
      <c r="J278" s="6"/>
      <c r="K278" s="54"/>
      <c r="L278" s="6"/>
      <c r="M278" s="6"/>
      <c r="N278" s="6"/>
      <c r="O278" s="6"/>
      <c r="P278" s="6"/>
      <c r="Q278" s="6"/>
      <c r="R278" s="6"/>
      <c r="S278" s="6"/>
      <c r="T278" s="6"/>
      <c r="U278" s="6"/>
      <c r="V278" s="6"/>
      <c r="W278" s="6"/>
      <c r="X278" s="6"/>
      <c r="Y278" s="6"/>
      <c r="Z278" s="6"/>
    </row>
    <row r="279" ht="15.75" customHeight="1">
      <c r="A279" s="6"/>
      <c r="B279" s="6"/>
      <c r="C279" s="53"/>
      <c r="D279" s="53"/>
      <c r="E279" s="53"/>
      <c r="F279" s="53"/>
      <c r="G279" s="53"/>
      <c r="H279" s="53"/>
      <c r="I279" s="6"/>
      <c r="J279" s="6"/>
      <c r="K279" s="54"/>
      <c r="L279" s="6"/>
      <c r="M279" s="6"/>
      <c r="N279" s="6"/>
      <c r="O279" s="6"/>
      <c r="P279" s="6"/>
      <c r="Q279" s="6"/>
      <c r="R279" s="6"/>
      <c r="S279" s="6"/>
      <c r="T279" s="6"/>
      <c r="U279" s="6"/>
      <c r="V279" s="6"/>
      <c r="W279" s="6"/>
      <c r="X279" s="6"/>
      <c r="Y279" s="6"/>
      <c r="Z279" s="6"/>
    </row>
    <row r="280" ht="15.75" customHeight="1">
      <c r="A280" s="6"/>
      <c r="B280" s="6"/>
      <c r="C280" s="53"/>
      <c r="D280" s="53"/>
      <c r="E280" s="53"/>
      <c r="F280" s="53"/>
      <c r="G280" s="53"/>
      <c r="H280" s="53"/>
      <c r="I280" s="6"/>
      <c r="J280" s="6"/>
      <c r="K280" s="54"/>
      <c r="L280" s="6"/>
      <c r="M280" s="6"/>
      <c r="N280" s="6"/>
      <c r="O280" s="6"/>
      <c r="P280" s="6"/>
      <c r="Q280" s="6"/>
      <c r="R280" s="6"/>
      <c r="S280" s="6"/>
      <c r="T280" s="6"/>
      <c r="U280" s="6"/>
      <c r="V280" s="6"/>
      <c r="W280" s="6"/>
      <c r="X280" s="6"/>
      <c r="Y280" s="6"/>
      <c r="Z280" s="6"/>
    </row>
    <row r="281" ht="15.75" customHeight="1">
      <c r="A281" s="6"/>
      <c r="B281" s="6"/>
      <c r="C281" s="53"/>
      <c r="D281" s="53"/>
      <c r="E281" s="53"/>
      <c r="F281" s="53"/>
      <c r="G281" s="53"/>
      <c r="H281" s="53"/>
      <c r="I281" s="6"/>
      <c r="J281" s="6"/>
      <c r="K281" s="54"/>
      <c r="L281" s="6"/>
      <c r="M281" s="6"/>
      <c r="N281" s="6"/>
      <c r="O281" s="6"/>
      <c r="P281" s="6"/>
      <c r="Q281" s="6"/>
      <c r="R281" s="6"/>
      <c r="S281" s="6"/>
      <c r="T281" s="6"/>
      <c r="U281" s="6"/>
      <c r="V281" s="6"/>
      <c r="W281" s="6"/>
      <c r="X281" s="6"/>
      <c r="Y281" s="6"/>
      <c r="Z281" s="6"/>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B2:C2"/>
    <mergeCell ref="H5:H6"/>
    <mergeCell ref="H10:H11"/>
    <mergeCell ref="H15:H16"/>
    <mergeCell ref="H28:I28"/>
    <mergeCell ref="B29:C29"/>
  </mergeCells>
  <conditionalFormatting sqref="F4:F9 F12:F14 F17:F27">
    <cfRule type="cellIs" dxfId="0" priority="1" operator="equal">
      <formula>0</formula>
    </cfRule>
  </conditionalFormatting>
  <conditionalFormatting sqref="H5:H6 H10:H11 H15:H16">
    <cfRule type="cellIs" dxfId="1" priority="2" operator="equal">
      <formula>"$0"</formula>
    </cfRule>
  </conditionalFormatting>
  <conditionalFormatting sqref="H31:H80">
    <cfRule type="cellIs" dxfId="0" priority="3" operator="equal">
      <formula>0</formula>
    </cfRule>
  </conditionalFormatting>
  <dataValidations>
    <dataValidation type="list" allowBlank="1" showErrorMessage="1" sqref="B4:B27 B31:B80">
      <formula1>"Phase 1,Phase 2,Phase 3,Phase 4,Phase 5,Phase 1 &amp; 2,Phase 2 &amp; 3"</formula1>
    </dataValidation>
    <dataValidation type="list" allowBlank="1" showErrorMessage="1" sqref="E4:E27 E31:E80">
      <formula1>DATA!$B$46:$B$67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12.63"/>
    <col customWidth="1" min="3" max="3" width="31.38"/>
    <col customWidth="1" min="4" max="4" width="75.13"/>
    <col customWidth="1" min="5" max="6" width="25.13"/>
    <col customWidth="1" min="7" max="7" width="12.63"/>
    <col customWidth="1" min="8" max="10" width="25.13"/>
  </cols>
  <sheetData>
    <row r="1" ht="37.5" customHeight="1">
      <c r="A1" s="80" t="s">
        <v>134</v>
      </c>
      <c r="B1" s="81"/>
      <c r="C1" s="80" t="s">
        <v>135</v>
      </c>
      <c r="D1" s="80" t="s">
        <v>96</v>
      </c>
      <c r="E1" s="79" t="s">
        <v>187</v>
      </c>
      <c r="F1" s="79" t="s">
        <v>188</v>
      </c>
      <c r="G1" s="79" t="s">
        <v>189</v>
      </c>
      <c r="H1" s="79" t="s">
        <v>190</v>
      </c>
      <c r="I1" s="79" t="s">
        <v>173</v>
      </c>
      <c r="J1" s="82" t="s">
        <v>191</v>
      </c>
      <c r="K1" s="81"/>
      <c r="L1" s="81"/>
      <c r="M1" s="81"/>
      <c r="N1" s="81"/>
      <c r="O1" s="81"/>
      <c r="P1" s="81"/>
      <c r="Q1" s="81"/>
      <c r="R1" s="81"/>
      <c r="S1" s="81"/>
      <c r="T1" s="81"/>
      <c r="U1" s="81"/>
      <c r="V1" s="81"/>
      <c r="W1" s="81"/>
      <c r="X1" s="81"/>
    </row>
    <row r="2" ht="22.5" customHeight="1">
      <c r="A2" s="83" t="s">
        <v>138</v>
      </c>
      <c r="B2" s="84" t="b">
        <v>1</v>
      </c>
      <c r="C2" s="85" t="s">
        <v>109</v>
      </c>
      <c r="D2" s="85" t="s">
        <v>139</v>
      </c>
      <c r="E2" s="86" t="s">
        <v>108</v>
      </c>
      <c r="F2" s="87" t="s">
        <v>106</v>
      </c>
      <c r="G2" s="88">
        <v>1.0</v>
      </c>
      <c r="H2" s="89">
        <f>'PRODUCT LABOR &amp; SUBCONTRACT'!F4</f>
        <v>5000</v>
      </c>
      <c r="I2" s="89">
        <f t="shared" ref="I2:I7" si="1">H2*G2</f>
        <v>5000</v>
      </c>
      <c r="J2" s="90">
        <f>I2*DATA!$C$21</f>
        <v>15000</v>
      </c>
      <c r="K2" s="34"/>
      <c r="L2" s="34"/>
      <c r="M2" s="34"/>
      <c r="N2" s="34"/>
      <c r="O2" s="34"/>
      <c r="P2" s="34"/>
      <c r="Q2" s="34"/>
      <c r="R2" s="34"/>
      <c r="S2" s="34"/>
      <c r="T2" s="34"/>
      <c r="U2" s="34"/>
      <c r="V2" s="34"/>
      <c r="W2" s="34"/>
      <c r="X2" s="34"/>
    </row>
    <row r="3" ht="22.5" customHeight="1">
      <c r="A3" s="91" t="s">
        <v>138</v>
      </c>
      <c r="B3" s="92" t="b">
        <v>1</v>
      </c>
      <c r="C3" s="93" t="s">
        <v>109</v>
      </c>
      <c r="D3" s="93" t="s">
        <v>141</v>
      </c>
      <c r="E3" s="94" t="s">
        <v>110</v>
      </c>
      <c r="F3" s="95" t="s">
        <v>106</v>
      </c>
      <c r="G3" s="96">
        <v>1.0</v>
      </c>
      <c r="H3" s="97">
        <f>'PRODUCT LABOR &amp; SUBCONTRACT'!F5</f>
        <v>500</v>
      </c>
      <c r="I3" s="97">
        <f t="shared" si="1"/>
        <v>500</v>
      </c>
      <c r="J3" s="90">
        <f>I3*DATA!$C$21</f>
        <v>1500</v>
      </c>
      <c r="K3" s="34"/>
      <c r="L3" s="34"/>
      <c r="M3" s="34"/>
      <c r="N3" s="34"/>
      <c r="O3" s="34"/>
      <c r="P3" s="34"/>
      <c r="Q3" s="34"/>
      <c r="R3" s="34"/>
      <c r="S3" s="34"/>
      <c r="T3" s="34"/>
      <c r="U3" s="34"/>
      <c r="V3" s="34"/>
      <c r="W3" s="34"/>
      <c r="X3" s="34"/>
    </row>
    <row r="4" ht="22.5" customHeight="1">
      <c r="A4" s="91" t="s">
        <v>138</v>
      </c>
      <c r="B4" s="92" t="b">
        <v>1</v>
      </c>
      <c r="C4" s="93" t="s">
        <v>109</v>
      </c>
      <c r="D4" s="93" t="s">
        <v>192</v>
      </c>
      <c r="E4" s="94" t="s">
        <v>193</v>
      </c>
      <c r="F4" s="95" t="s">
        <v>194</v>
      </c>
      <c r="G4" s="96">
        <v>1.0</v>
      </c>
      <c r="H4" s="97">
        <v>500.0</v>
      </c>
      <c r="I4" s="97">
        <f t="shared" si="1"/>
        <v>500</v>
      </c>
      <c r="J4" s="90">
        <f t="shared" ref="J4:J6" si="2">I4</f>
        <v>500</v>
      </c>
      <c r="K4" s="34"/>
      <c r="L4" s="34"/>
      <c r="M4" s="34"/>
      <c r="N4" s="34"/>
      <c r="O4" s="34"/>
      <c r="P4" s="34"/>
      <c r="Q4" s="34"/>
      <c r="R4" s="34"/>
      <c r="S4" s="34"/>
      <c r="T4" s="34"/>
      <c r="U4" s="34"/>
      <c r="V4" s="34"/>
      <c r="W4" s="34"/>
      <c r="X4" s="34"/>
    </row>
    <row r="5" ht="22.5" customHeight="1">
      <c r="A5" s="91" t="s">
        <v>138</v>
      </c>
      <c r="B5" s="92" t="b">
        <v>1</v>
      </c>
      <c r="C5" s="93" t="s">
        <v>142</v>
      </c>
      <c r="D5" s="93" t="s">
        <v>144</v>
      </c>
      <c r="E5" s="94" t="s">
        <v>105</v>
      </c>
      <c r="F5" s="95" t="s">
        <v>106</v>
      </c>
      <c r="G5" s="96">
        <v>1.0</v>
      </c>
      <c r="H5" s="97">
        <f>'PRODUCT LABOR &amp; SUBCONTRACT'!F7</f>
        <v>7000</v>
      </c>
      <c r="I5" s="97">
        <f t="shared" si="1"/>
        <v>7000</v>
      </c>
      <c r="J5" s="90">
        <f t="shared" si="2"/>
        <v>7000</v>
      </c>
      <c r="K5" s="34"/>
      <c r="L5" s="34"/>
      <c r="M5" s="34"/>
      <c r="N5" s="34"/>
      <c r="O5" s="34"/>
      <c r="P5" s="34"/>
      <c r="Q5" s="34"/>
      <c r="R5" s="34"/>
      <c r="S5" s="34"/>
      <c r="T5" s="34"/>
      <c r="U5" s="34"/>
      <c r="V5" s="34"/>
      <c r="W5" s="34"/>
      <c r="X5" s="34"/>
    </row>
    <row r="6" ht="22.5" customHeight="1">
      <c r="A6" s="91" t="s">
        <v>138</v>
      </c>
      <c r="B6" s="92" t="b">
        <v>1</v>
      </c>
      <c r="C6" s="93" t="s">
        <v>142</v>
      </c>
      <c r="D6" s="93" t="s">
        <v>143</v>
      </c>
      <c r="E6" s="94" t="s">
        <v>105</v>
      </c>
      <c r="F6" s="95" t="s">
        <v>106</v>
      </c>
      <c r="G6" s="96">
        <v>1.0</v>
      </c>
      <c r="H6" s="97">
        <f>'PRODUCT LABOR &amp; SUBCONTRACT'!F6</f>
        <v>20000</v>
      </c>
      <c r="I6" s="97">
        <f t="shared" si="1"/>
        <v>20000</v>
      </c>
      <c r="J6" s="90">
        <f t="shared" si="2"/>
        <v>20000</v>
      </c>
      <c r="K6" s="34"/>
      <c r="L6" s="34"/>
      <c r="M6" s="34"/>
      <c r="N6" s="34"/>
      <c r="O6" s="34"/>
      <c r="P6" s="34"/>
      <c r="Q6" s="34"/>
      <c r="R6" s="34"/>
      <c r="S6" s="34"/>
      <c r="T6" s="34"/>
      <c r="U6" s="34"/>
      <c r="V6" s="34"/>
      <c r="W6" s="34"/>
      <c r="X6" s="34"/>
    </row>
    <row r="7" ht="22.5" customHeight="1">
      <c r="A7" s="91" t="s">
        <v>138</v>
      </c>
      <c r="B7" s="92" t="b">
        <v>1</v>
      </c>
      <c r="C7" s="93" t="s">
        <v>142</v>
      </c>
      <c r="D7" s="93" t="s">
        <v>195</v>
      </c>
      <c r="E7" s="94" t="s">
        <v>193</v>
      </c>
      <c r="F7" s="95" t="s">
        <v>194</v>
      </c>
      <c r="G7" s="96">
        <v>1.0</v>
      </c>
      <c r="H7" s="97">
        <f>'PRODUCT LABOR &amp; SUBCONTRACT'!F8</f>
        <v>400</v>
      </c>
      <c r="I7" s="97">
        <f t="shared" si="1"/>
        <v>400</v>
      </c>
      <c r="J7" s="90">
        <f>I7*DATA!$C$21</f>
        <v>1200</v>
      </c>
      <c r="K7" s="34"/>
      <c r="L7" s="34"/>
      <c r="M7" s="34"/>
      <c r="N7" s="34"/>
      <c r="O7" s="34"/>
      <c r="P7" s="34"/>
      <c r="Q7" s="34"/>
      <c r="R7" s="34"/>
      <c r="S7" s="34"/>
      <c r="T7" s="34"/>
      <c r="U7" s="34"/>
      <c r="V7" s="34"/>
      <c r="W7" s="34"/>
      <c r="X7" s="34"/>
    </row>
    <row r="8" ht="22.5" customHeight="1">
      <c r="A8" s="91" t="s">
        <v>138</v>
      </c>
      <c r="B8" s="92" t="b">
        <v>1</v>
      </c>
      <c r="C8" s="93" t="s">
        <v>142</v>
      </c>
      <c r="D8" s="93" t="s">
        <v>196</v>
      </c>
      <c r="E8" s="94" t="s">
        <v>193</v>
      </c>
      <c r="F8" s="95" t="s">
        <v>197</v>
      </c>
      <c r="G8" s="96">
        <v>1.0</v>
      </c>
      <c r="H8" s="97">
        <v>17.0</v>
      </c>
      <c r="I8" s="97">
        <f t="shared" ref="I8:I10" si="3">(H8*G8)*1.115</f>
        <v>18.955</v>
      </c>
      <c r="J8" s="90">
        <f>I8*DATA!$C$21</f>
        <v>56.865</v>
      </c>
      <c r="K8" s="34"/>
      <c r="L8" s="34"/>
      <c r="M8" s="34"/>
      <c r="N8" s="34"/>
      <c r="O8" s="34"/>
      <c r="P8" s="34"/>
      <c r="Q8" s="34"/>
      <c r="R8" s="34"/>
      <c r="S8" s="34"/>
      <c r="T8" s="34"/>
      <c r="U8" s="34"/>
      <c r="V8" s="34"/>
      <c r="W8" s="34"/>
      <c r="X8" s="34"/>
    </row>
    <row r="9" ht="22.5" customHeight="1">
      <c r="A9" s="91" t="s">
        <v>138</v>
      </c>
      <c r="B9" s="92" t="b">
        <v>1</v>
      </c>
      <c r="C9" s="93" t="s">
        <v>142</v>
      </c>
      <c r="D9" s="93" t="s">
        <v>198</v>
      </c>
      <c r="E9" s="94" t="s">
        <v>193</v>
      </c>
      <c r="F9" s="95" t="s">
        <v>197</v>
      </c>
      <c r="G9" s="96">
        <v>2.0</v>
      </c>
      <c r="H9" s="97">
        <v>100.0</v>
      </c>
      <c r="I9" s="97">
        <f t="shared" si="3"/>
        <v>223</v>
      </c>
      <c r="J9" s="90">
        <f>I9*DATA!$C$21</f>
        <v>669</v>
      </c>
      <c r="K9" s="34"/>
      <c r="L9" s="34"/>
      <c r="M9" s="34"/>
      <c r="N9" s="34"/>
      <c r="O9" s="34"/>
      <c r="P9" s="34"/>
      <c r="Q9" s="34"/>
      <c r="R9" s="34"/>
      <c r="S9" s="34"/>
      <c r="T9" s="34"/>
      <c r="U9" s="34"/>
      <c r="V9" s="34"/>
      <c r="W9" s="34"/>
      <c r="X9" s="34"/>
    </row>
    <row r="10" ht="22.5" customHeight="1">
      <c r="A10" s="91" t="s">
        <v>138</v>
      </c>
      <c r="B10" s="92" t="b">
        <v>1</v>
      </c>
      <c r="C10" s="93" t="s">
        <v>142</v>
      </c>
      <c r="D10" s="93" t="s">
        <v>199</v>
      </c>
      <c r="E10" s="94" t="s">
        <v>193</v>
      </c>
      <c r="F10" s="95" t="s">
        <v>197</v>
      </c>
      <c r="G10" s="96">
        <v>1.0</v>
      </c>
      <c r="H10" s="97">
        <v>500.0</v>
      </c>
      <c r="I10" s="97">
        <f t="shared" si="3"/>
        <v>557.5</v>
      </c>
      <c r="J10" s="90">
        <f>I10*DATA!$C$21</f>
        <v>1672.5</v>
      </c>
      <c r="K10" s="34"/>
      <c r="L10" s="34"/>
      <c r="M10" s="34"/>
      <c r="N10" s="34"/>
      <c r="O10" s="34"/>
      <c r="P10" s="34"/>
      <c r="Q10" s="34"/>
      <c r="R10" s="34"/>
      <c r="S10" s="34"/>
      <c r="T10" s="34"/>
      <c r="U10" s="34"/>
      <c r="V10" s="34"/>
      <c r="W10" s="34"/>
      <c r="X10" s="34"/>
    </row>
    <row r="11" ht="22.5" customHeight="1">
      <c r="A11" s="91" t="s">
        <v>138</v>
      </c>
      <c r="B11" s="92" t="b">
        <v>1</v>
      </c>
      <c r="C11" s="93" t="s">
        <v>142</v>
      </c>
      <c r="D11" s="93" t="s">
        <v>146</v>
      </c>
      <c r="E11" s="94" t="s">
        <v>112</v>
      </c>
      <c r="F11" s="95" t="s">
        <v>106</v>
      </c>
      <c r="G11" s="96">
        <v>1.0</v>
      </c>
      <c r="H11" s="97">
        <f>'PRODUCT LABOR &amp; SUBCONTRACT'!F9</f>
        <v>500</v>
      </c>
      <c r="I11" s="97">
        <f t="shared" ref="I11:I17" si="4">H11*G11</f>
        <v>500</v>
      </c>
      <c r="J11" s="90">
        <f>I11*DATA!$C$21</f>
        <v>1500</v>
      </c>
      <c r="K11" s="34"/>
      <c r="L11" s="34"/>
      <c r="M11" s="34"/>
      <c r="N11" s="34"/>
      <c r="O11" s="34"/>
      <c r="P11" s="34"/>
      <c r="Q11" s="34"/>
      <c r="R11" s="34"/>
      <c r="S11" s="34"/>
      <c r="T11" s="34"/>
      <c r="U11" s="34"/>
      <c r="V11" s="34"/>
      <c r="W11" s="34"/>
      <c r="X11" s="34"/>
    </row>
    <row r="12" ht="22.5" customHeight="1">
      <c r="A12" s="91" t="s">
        <v>138</v>
      </c>
      <c r="B12" s="92" t="b">
        <v>1</v>
      </c>
      <c r="C12" s="93" t="s">
        <v>142</v>
      </c>
      <c r="D12" s="93" t="s">
        <v>192</v>
      </c>
      <c r="E12" s="94" t="s">
        <v>193</v>
      </c>
      <c r="F12" s="95" t="s">
        <v>194</v>
      </c>
      <c r="G12" s="96">
        <v>1.0</v>
      </c>
      <c r="H12" s="97">
        <v>500.0</v>
      </c>
      <c r="I12" s="97">
        <f t="shared" si="4"/>
        <v>500</v>
      </c>
      <c r="J12" s="90">
        <f t="shared" ref="J12:J17" si="5">I12</f>
        <v>500</v>
      </c>
      <c r="K12" s="34"/>
      <c r="L12" s="34"/>
      <c r="M12" s="34"/>
      <c r="N12" s="34"/>
      <c r="O12" s="34"/>
      <c r="P12" s="34"/>
      <c r="Q12" s="34"/>
      <c r="R12" s="34"/>
      <c r="S12" s="34"/>
      <c r="T12" s="34"/>
      <c r="U12" s="34"/>
      <c r="V12" s="34"/>
      <c r="W12" s="34"/>
      <c r="X12" s="34"/>
    </row>
    <row r="13" ht="22.5" customHeight="1">
      <c r="A13" s="91" t="s">
        <v>138</v>
      </c>
      <c r="B13" s="92" t="b">
        <v>1</v>
      </c>
      <c r="C13" s="93" t="s">
        <v>115</v>
      </c>
      <c r="D13" s="93" t="s">
        <v>200</v>
      </c>
      <c r="E13" s="94" t="s">
        <v>114</v>
      </c>
      <c r="F13" s="95" t="s">
        <v>106</v>
      </c>
      <c r="G13" s="96">
        <v>1.0</v>
      </c>
      <c r="H13" s="97">
        <f>'PRODUCT LABOR &amp; SUBCONTRACT'!F10</f>
        <v>7500</v>
      </c>
      <c r="I13" s="97">
        <f t="shared" si="4"/>
        <v>7500</v>
      </c>
      <c r="J13" s="90">
        <f t="shared" si="5"/>
        <v>7500</v>
      </c>
      <c r="K13" s="34"/>
      <c r="L13" s="34"/>
      <c r="M13" s="34"/>
      <c r="N13" s="34"/>
      <c r="O13" s="34"/>
      <c r="P13" s="34"/>
      <c r="Q13" s="34"/>
      <c r="R13" s="34"/>
      <c r="S13" s="34"/>
      <c r="T13" s="34"/>
      <c r="U13" s="34"/>
      <c r="V13" s="34"/>
      <c r="W13" s="34"/>
      <c r="X13" s="34"/>
    </row>
    <row r="14" ht="22.5" customHeight="1">
      <c r="A14" s="98" t="s">
        <v>138</v>
      </c>
      <c r="B14" s="99" t="b">
        <v>1</v>
      </c>
      <c r="C14" s="100" t="s">
        <v>115</v>
      </c>
      <c r="D14" s="100" t="s">
        <v>192</v>
      </c>
      <c r="E14" s="101" t="s">
        <v>193</v>
      </c>
      <c r="F14" s="102" t="s">
        <v>194</v>
      </c>
      <c r="G14" s="61">
        <v>1.0</v>
      </c>
      <c r="H14" s="103">
        <v>500.0</v>
      </c>
      <c r="I14" s="103">
        <f t="shared" si="4"/>
        <v>500</v>
      </c>
      <c r="J14" s="90">
        <f t="shared" si="5"/>
        <v>500</v>
      </c>
      <c r="K14" s="34"/>
      <c r="L14" s="34"/>
      <c r="M14" s="34"/>
      <c r="N14" s="34"/>
      <c r="O14" s="34"/>
      <c r="P14" s="34"/>
      <c r="Q14" s="34"/>
      <c r="R14" s="34"/>
      <c r="S14" s="34"/>
      <c r="T14" s="34"/>
      <c r="U14" s="34"/>
      <c r="V14" s="34"/>
      <c r="W14" s="34"/>
      <c r="X14" s="34"/>
    </row>
    <row r="15" ht="22.5" customHeight="1">
      <c r="A15" s="104" t="s">
        <v>149</v>
      </c>
      <c r="B15" s="105" t="b">
        <v>1</v>
      </c>
      <c r="C15" s="106" t="s">
        <v>115</v>
      </c>
      <c r="D15" s="106" t="s">
        <v>150</v>
      </c>
      <c r="E15" s="107" t="s">
        <v>114</v>
      </c>
      <c r="F15" s="108" t="s">
        <v>106</v>
      </c>
      <c r="G15" s="109">
        <v>1.0</v>
      </c>
      <c r="H15" s="110">
        <f>'PRODUCT LABOR &amp; SUBCONTRACT'!F11</f>
        <v>7500</v>
      </c>
      <c r="I15" s="110">
        <f t="shared" si="4"/>
        <v>7500</v>
      </c>
      <c r="J15" s="90">
        <f t="shared" si="5"/>
        <v>7500</v>
      </c>
      <c r="K15" s="34"/>
      <c r="L15" s="34"/>
      <c r="M15" s="34"/>
      <c r="N15" s="34"/>
      <c r="O15" s="34"/>
      <c r="P15" s="34"/>
      <c r="Q15" s="34"/>
      <c r="R15" s="34"/>
      <c r="S15" s="34"/>
      <c r="T15" s="34"/>
      <c r="U15" s="34"/>
      <c r="V15" s="34"/>
      <c r="W15" s="34"/>
      <c r="X15" s="34"/>
    </row>
    <row r="16" ht="22.5" customHeight="1">
      <c r="A16" s="104" t="s">
        <v>149</v>
      </c>
      <c r="B16" s="105" t="b">
        <v>1</v>
      </c>
      <c r="C16" s="106" t="s">
        <v>115</v>
      </c>
      <c r="D16" s="106" t="s">
        <v>192</v>
      </c>
      <c r="E16" s="107" t="s">
        <v>193</v>
      </c>
      <c r="F16" s="108" t="s">
        <v>194</v>
      </c>
      <c r="G16" s="109">
        <v>1.0</v>
      </c>
      <c r="H16" s="110">
        <v>500.0</v>
      </c>
      <c r="I16" s="110">
        <f t="shared" si="4"/>
        <v>500</v>
      </c>
      <c r="J16" s="90">
        <f t="shared" si="5"/>
        <v>500</v>
      </c>
      <c r="K16" s="34"/>
      <c r="L16" s="34"/>
      <c r="M16" s="34"/>
      <c r="N16" s="34"/>
      <c r="O16" s="34"/>
      <c r="P16" s="34"/>
      <c r="Q16" s="34"/>
      <c r="R16" s="34"/>
      <c r="S16" s="34"/>
      <c r="T16" s="34"/>
      <c r="U16" s="34"/>
      <c r="V16" s="34"/>
      <c r="W16" s="34"/>
      <c r="X16" s="34"/>
    </row>
    <row r="17" ht="22.5" customHeight="1">
      <c r="A17" s="104" t="s">
        <v>149</v>
      </c>
      <c r="B17" s="105" t="b">
        <v>1</v>
      </c>
      <c r="C17" s="106" t="s">
        <v>151</v>
      </c>
      <c r="D17" s="106" t="s">
        <v>201</v>
      </c>
      <c r="E17" s="107" t="s">
        <v>193</v>
      </c>
      <c r="F17" s="108" t="s">
        <v>194</v>
      </c>
      <c r="G17" s="109">
        <v>1.0</v>
      </c>
      <c r="H17" s="110">
        <f>'PRODUCT LABOR &amp; SUBCONTRACT'!F14</f>
        <v>20000</v>
      </c>
      <c r="I17" s="110">
        <f t="shared" si="4"/>
        <v>20000</v>
      </c>
      <c r="J17" s="90">
        <f t="shared" si="5"/>
        <v>20000</v>
      </c>
      <c r="K17" s="34"/>
      <c r="L17" s="34"/>
      <c r="M17" s="34"/>
      <c r="N17" s="34"/>
      <c r="O17" s="34"/>
      <c r="P17" s="34"/>
      <c r="Q17" s="34"/>
      <c r="R17" s="34"/>
      <c r="S17" s="34"/>
      <c r="T17" s="34"/>
      <c r="U17" s="34"/>
      <c r="V17" s="34"/>
      <c r="W17" s="34"/>
      <c r="X17" s="34"/>
    </row>
    <row r="18" ht="22.5" customHeight="1">
      <c r="A18" s="104" t="s">
        <v>149</v>
      </c>
      <c r="B18" s="105" t="b">
        <v>1</v>
      </c>
      <c r="C18" s="106" t="s">
        <v>151</v>
      </c>
      <c r="D18" s="106" t="s">
        <v>202</v>
      </c>
      <c r="E18" s="107" t="s">
        <v>193</v>
      </c>
      <c r="F18" s="108" t="s">
        <v>197</v>
      </c>
      <c r="G18" s="111">
        <v>25.0</v>
      </c>
      <c r="H18" s="110">
        <v>10.75</v>
      </c>
      <c r="I18" s="110">
        <f t="shared" ref="I18:I28" si="6">(H18*G18)*1.115</f>
        <v>299.65625</v>
      </c>
      <c r="J18" s="90">
        <f>I18*DATA!$C$21</f>
        <v>898.96875</v>
      </c>
      <c r="K18" s="34"/>
      <c r="L18" s="34"/>
      <c r="M18" s="34"/>
      <c r="N18" s="34"/>
      <c r="O18" s="34"/>
      <c r="P18" s="34"/>
      <c r="Q18" s="34"/>
      <c r="R18" s="34"/>
      <c r="S18" s="34"/>
      <c r="T18" s="34"/>
      <c r="U18" s="34"/>
      <c r="V18" s="34"/>
      <c r="W18" s="34"/>
      <c r="X18" s="34"/>
    </row>
    <row r="19" ht="22.5" customHeight="1">
      <c r="A19" s="104" t="s">
        <v>149</v>
      </c>
      <c r="B19" s="105" t="b">
        <v>1</v>
      </c>
      <c r="C19" s="106" t="s">
        <v>151</v>
      </c>
      <c r="D19" s="106" t="s">
        <v>203</v>
      </c>
      <c r="E19" s="107" t="s">
        <v>193</v>
      </c>
      <c r="F19" s="108" t="s">
        <v>197</v>
      </c>
      <c r="G19" s="111">
        <v>80.0</v>
      </c>
      <c r="H19" s="110">
        <v>7.2</v>
      </c>
      <c r="I19" s="110">
        <f t="shared" si="6"/>
        <v>642.24</v>
      </c>
      <c r="J19" s="90">
        <f>I19*DATA!$C$21</f>
        <v>1926.72</v>
      </c>
      <c r="K19" s="34"/>
      <c r="L19" s="34"/>
      <c r="M19" s="34"/>
      <c r="N19" s="34"/>
      <c r="O19" s="34"/>
      <c r="P19" s="34"/>
      <c r="Q19" s="34"/>
      <c r="R19" s="34"/>
      <c r="S19" s="34"/>
      <c r="T19" s="34"/>
      <c r="U19" s="34"/>
      <c r="V19" s="34"/>
      <c r="W19" s="34"/>
      <c r="X19" s="34"/>
    </row>
    <row r="20" ht="22.5" customHeight="1">
      <c r="A20" s="104" t="s">
        <v>149</v>
      </c>
      <c r="B20" s="105" t="b">
        <v>1</v>
      </c>
      <c r="C20" s="106" t="s">
        <v>151</v>
      </c>
      <c r="D20" s="106" t="s">
        <v>204</v>
      </c>
      <c r="E20" s="107" t="s">
        <v>193</v>
      </c>
      <c r="F20" s="108" t="s">
        <v>197</v>
      </c>
      <c r="G20" s="111">
        <v>30.0</v>
      </c>
      <c r="H20" s="110">
        <v>6.05</v>
      </c>
      <c r="I20" s="110">
        <f t="shared" si="6"/>
        <v>202.3725</v>
      </c>
      <c r="J20" s="90">
        <f>I20*DATA!$C$21</f>
        <v>607.1175</v>
      </c>
      <c r="K20" s="34"/>
      <c r="L20" s="34"/>
      <c r="M20" s="34"/>
      <c r="N20" s="34"/>
      <c r="O20" s="34"/>
      <c r="P20" s="34"/>
      <c r="Q20" s="34"/>
      <c r="R20" s="34"/>
      <c r="S20" s="34"/>
      <c r="T20" s="34"/>
      <c r="U20" s="34"/>
      <c r="V20" s="34"/>
      <c r="W20" s="34"/>
      <c r="X20" s="34"/>
    </row>
    <row r="21" ht="22.5" customHeight="1">
      <c r="A21" s="104" t="s">
        <v>149</v>
      </c>
      <c r="B21" s="105" t="b">
        <v>1</v>
      </c>
      <c r="C21" s="106" t="s">
        <v>151</v>
      </c>
      <c r="D21" s="106" t="s">
        <v>205</v>
      </c>
      <c r="E21" s="107" t="s">
        <v>193</v>
      </c>
      <c r="F21" s="108" t="s">
        <v>197</v>
      </c>
      <c r="G21" s="111">
        <v>25.0</v>
      </c>
      <c r="H21" s="110">
        <v>7.2</v>
      </c>
      <c r="I21" s="110">
        <f t="shared" si="6"/>
        <v>200.7</v>
      </c>
      <c r="J21" s="90">
        <f>I21*DATA!$C$21</f>
        <v>602.1</v>
      </c>
      <c r="K21" s="34"/>
      <c r="L21" s="34"/>
      <c r="M21" s="34"/>
      <c r="N21" s="34"/>
      <c r="O21" s="34"/>
      <c r="P21" s="34"/>
      <c r="Q21" s="34"/>
      <c r="R21" s="34"/>
      <c r="S21" s="34"/>
      <c r="T21" s="34"/>
      <c r="U21" s="34"/>
      <c r="V21" s="34"/>
      <c r="W21" s="34"/>
      <c r="X21" s="34"/>
    </row>
    <row r="22" ht="22.5" customHeight="1">
      <c r="A22" s="104" t="s">
        <v>149</v>
      </c>
      <c r="B22" s="105" t="b">
        <v>1</v>
      </c>
      <c r="C22" s="106" t="s">
        <v>151</v>
      </c>
      <c r="D22" s="106" t="s">
        <v>206</v>
      </c>
      <c r="E22" s="107" t="s">
        <v>193</v>
      </c>
      <c r="F22" s="108" t="s">
        <v>197</v>
      </c>
      <c r="G22" s="111">
        <v>10.0</v>
      </c>
      <c r="H22" s="110">
        <v>10.75</v>
      </c>
      <c r="I22" s="110">
        <f t="shared" si="6"/>
        <v>119.8625</v>
      </c>
      <c r="J22" s="90">
        <f>I22*DATA!$C$21</f>
        <v>359.5875</v>
      </c>
      <c r="K22" s="34"/>
      <c r="L22" s="34"/>
      <c r="M22" s="34"/>
      <c r="N22" s="34"/>
      <c r="O22" s="34"/>
      <c r="P22" s="34"/>
      <c r="Q22" s="34"/>
      <c r="R22" s="34"/>
      <c r="S22" s="34"/>
      <c r="T22" s="34"/>
      <c r="U22" s="34"/>
      <c r="V22" s="34"/>
      <c r="W22" s="34"/>
      <c r="X22" s="34"/>
    </row>
    <row r="23" ht="22.5" customHeight="1">
      <c r="A23" s="104" t="s">
        <v>149</v>
      </c>
      <c r="B23" s="105" t="b">
        <v>1</v>
      </c>
      <c r="C23" s="106" t="s">
        <v>151</v>
      </c>
      <c r="D23" s="106" t="s">
        <v>207</v>
      </c>
      <c r="E23" s="107" t="s">
        <v>193</v>
      </c>
      <c r="F23" s="108" t="s">
        <v>197</v>
      </c>
      <c r="G23" s="109">
        <v>1.0</v>
      </c>
      <c r="H23" s="110">
        <v>100.0</v>
      </c>
      <c r="I23" s="110">
        <f t="shared" si="6"/>
        <v>111.5</v>
      </c>
      <c r="J23" s="90">
        <f>I23*DATA!$C$21</f>
        <v>334.5</v>
      </c>
      <c r="K23" s="34"/>
      <c r="L23" s="34"/>
      <c r="M23" s="34"/>
      <c r="N23" s="34"/>
      <c r="O23" s="34"/>
      <c r="P23" s="34"/>
      <c r="Q23" s="34"/>
      <c r="R23" s="34"/>
      <c r="S23" s="34"/>
      <c r="T23" s="34"/>
      <c r="U23" s="34"/>
      <c r="V23" s="34"/>
      <c r="W23" s="34"/>
      <c r="X23" s="34"/>
    </row>
    <row r="24" ht="22.5" customHeight="1">
      <c r="A24" s="104" t="s">
        <v>149</v>
      </c>
      <c r="B24" s="105" t="b">
        <v>1</v>
      </c>
      <c r="C24" s="106" t="s">
        <v>151</v>
      </c>
      <c r="D24" s="106" t="s">
        <v>208</v>
      </c>
      <c r="E24" s="107" t="s">
        <v>193</v>
      </c>
      <c r="F24" s="108" t="s">
        <v>197</v>
      </c>
      <c r="G24" s="111">
        <v>5.0</v>
      </c>
      <c r="H24" s="110">
        <v>56.9</v>
      </c>
      <c r="I24" s="110">
        <f t="shared" si="6"/>
        <v>317.2175</v>
      </c>
      <c r="J24" s="90">
        <f>I24*DATA!$C$21</f>
        <v>951.6525</v>
      </c>
      <c r="K24" s="34"/>
      <c r="L24" s="34"/>
      <c r="M24" s="34"/>
      <c r="N24" s="34"/>
      <c r="O24" s="34"/>
      <c r="P24" s="34"/>
      <c r="Q24" s="34"/>
      <c r="R24" s="34"/>
      <c r="S24" s="34"/>
      <c r="T24" s="34"/>
      <c r="U24" s="34"/>
      <c r="V24" s="34"/>
      <c r="W24" s="34"/>
      <c r="X24" s="34"/>
    </row>
    <row r="25" ht="22.5" customHeight="1">
      <c r="A25" s="104" t="s">
        <v>149</v>
      </c>
      <c r="B25" s="105" t="b">
        <v>1</v>
      </c>
      <c r="C25" s="106" t="s">
        <v>151</v>
      </c>
      <c r="D25" s="106" t="s">
        <v>209</v>
      </c>
      <c r="E25" s="107" t="s">
        <v>193</v>
      </c>
      <c r="F25" s="108" t="s">
        <v>197</v>
      </c>
      <c r="G25" s="111">
        <v>10.0</v>
      </c>
      <c r="H25" s="110">
        <v>7.0</v>
      </c>
      <c r="I25" s="110">
        <f t="shared" si="6"/>
        <v>78.05</v>
      </c>
      <c r="J25" s="90">
        <f>I25*DATA!$C$21</f>
        <v>234.15</v>
      </c>
      <c r="K25" s="34"/>
      <c r="L25" s="34"/>
      <c r="M25" s="34"/>
      <c r="N25" s="34"/>
      <c r="O25" s="34"/>
      <c r="P25" s="34"/>
      <c r="Q25" s="34"/>
      <c r="R25" s="34"/>
      <c r="S25" s="34"/>
      <c r="T25" s="34"/>
      <c r="U25" s="34"/>
      <c r="V25" s="34"/>
      <c r="W25" s="34"/>
      <c r="X25" s="34"/>
    </row>
    <row r="26" ht="22.5" customHeight="1">
      <c r="A26" s="104" t="s">
        <v>149</v>
      </c>
      <c r="B26" s="105" t="b">
        <v>1</v>
      </c>
      <c r="C26" s="106" t="s">
        <v>151</v>
      </c>
      <c r="D26" s="106" t="s">
        <v>210</v>
      </c>
      <c r="E26" s="107" t="s">
        <v>193</v>
      </c>
      <c r="F26" s="108" t="s">
        <v>197</v>
      </c>
      <c r="G26" s="111">
        <v>2.0</v>
      </c>
      <c r="H26" s="110">
        <v>240.0</v>
      </c>
      <c r="I26" s="110">
        <f t="shared" si="6"/>
        <v>535.2</v>
      </c>
      <c r="J26" s="90">
        <f>I26*DATA!$C$21</f>
        <v>1605.6</v>
      </c>
      <c r="K26" s="34"/>
      <c r="L26" s="34"/>
      <c r="M26" s="34"/>
      <c r="N26" s="34"/>
      <c r="O26" s="34"/>
      <c r="P26" s="34"/>
      <c r="Q26" s="34"/>
      <c r="R26" s="34"/>
      <c r="S26" s="34"/>
      <c r="T26" s="34"/>
      <c r="U26" s="34"/>
      <c r="V26" s="34"/>
      <c r="W26" s="34"/>
      <c r="X26" s="34"/>
    </row>
    <row r="27" ht="22.5" customHeight="1">
      <c r="A27" s="104" t="s">
        <v>149</v>
      </c>
      <c r="B27" s="105" t="b">
        <v>1</v>
      </c>
      <c r="C27" s="106" t="s">
        <v>151</v>
      </c>
      <c r="D27" s="106" t="s">
        <v>199</v>
      </c>
      <c r="E27" s="107" t="s">
        <v>193</v>
      </c>
      <c r="F27" s="108" t="s">
        <v>197</v>
      </c>
      <c r="G27" s="109">
        <v>1.0</v>
      </c>
      <c r="H27" s="110">
        <v>600.0</v>
      </c>
      <c r="I27" s="110">
        <f t="shared" si="6"/>
        <v>669</v>
      </c>
      <c r="J27" s="90">
        <f>I27*DATA!$C$21</f>
        <v>2007</v>
      </c>
      <c r="K27" s="34"/>
      <c r="L27" s="34"/>
      <c r="M27" s="34"/>
      <c r="N27" s="34"/>
      <c r="O27" s="34"/>
      <c r="P27" s="34"/>
      <c r="Q27" s="34"/>
      <c r="R27" s="34"/>
      <c r="S27" s="34"/>
      <c r="T27" s="34"/>
      <c r="U27" s="34"/>
      <c r="V27" s="34"/>
      <c r="W27" s="34"/>
      <c r="X27" s="34"/>
    </row>
    <row r="28" ht="22.5" customHeight="1">
      <c r="A28" s="104" t="s">
        <v>149</v>
      </c>
      <c r="B28" s="105" t="b">
        <v>1</v>
      </c>
      <c r="C28" s="106" t="s">
        <v>151</v>
      </c>
      <c r="D28" s="106" t="s">
        <v>211</v>
      </c>
      <c r="E28" s="107" t="s">
        <v>193</v>
      </c>
      <c r="F28" s="108" t="s">
        <v>197</v>
      </c>
      <c r="G28" s="109">
        <v>1.0</v>
      </c>
      <c r="H28" s="110">
        <v>300.0</v>
      </c>
      <c r="I28" s="110">
        <f t="shared" si="6"/>
        <v>334.5</v>
      </c>
      <c r="J28" s="90">
        <f>I28*DATA!$C$21</f>
        <v>1003.5</v>
      </c>
      <c r="K28" s="34"/>
      <c r="L28" s="34"/>
      <c r="M28" s="34"/>
      <c r="N28" s="34"/>
      <c r="O28" s="34"/>
      <c r="P28" s="34"/>
      <c r="Q28" s="34"/>
      <c r="R28" s="34"/>
      <c r="S28" s="34"/>
      <c r="T28" s="34"/>
      <c r="U28" s="34"/>
      <c r="V28" s="34"/>
      <c r="W28" s="34"/>
      <c r="X28" s="34"/>
    </row>
    <row r="29" ht="22.5" customHeight="1">
      <c r="A29" s="104" t="s">
        <v>149</v>
      </c>
      <c r="B29" s="105" t="b">
        <v>1</v>
      </c>
      <c r="C29" s="106" t="s">
        <v>151</v>
      </c>
      <c r="D29" s="106" t="s">
        <v>212</v>
      </c>
      <c r="E29" s="107" t="s">
        <v>213</v>
      </c>
      <c r="F29" s="108" t="s">
        <v>106</v>
      </c>
      <c r="G29" s="109">
        <v>1.0</v>
      </c>
      <c r="H29" s="110">
        <f>'PRODUCT LABOR &amp; SUBCONTRACT'!F12</f>
        <v>5200</v>
      </c>
      <c r="I29" s="110">
        <f t="shared" ref="I29:I32" si="7">H29*G29</f>
        <v>5200</v>
      </c>
      <c r="J29" s="90">
        <f t="shared" ref="J29:J32" si="8">I29</f>
        <v>5200</v>
      </c>
      <c r="K29" s="34"/>
      <c r="L29" s="34"/>
      <c r="M29" s="34"/>
      <c r="N29" s="34"/>
      <c r="O29" s="34"/>
      <c r="P29" s="34"/>
      <c r="Q29" s="34"/>
      <c r="R29" s="34"/>
      <c r="S29" s="34"/>
      <c r="T29" s="34"/>
      <c r="U29" s="34"/>
      <c r="V29" s="34"/>
      <c r="W29" s="34"/>
      <c r="X29" s="34"/>
    </row>
    <row r="30" ht="22.5" customHeight="1">
      <c r="A30" s="104" t="s">
        <v>149</v>
      </c>
      <c r="B30" s="105" t="b">
        <v>1</v>
      </c>
      <c r="C30" s="106" t="s">
        <v>151</v>
      </c>
      <c r="D30" s="106" t="s">
        <v>214</v>
      </c>
      <c r="E30" s="107" t="s">
        <v>116</v>
      </c>
      <c r="F30" s="108" t="s">
        <v>106</v>
      </c>
      <c r="G30" s="109">
        <v>1.0</v>
      </c>
      <c r="H30" s="110">
        <f>'PRODUCT LABOR &amp; SUBCONTRACT'!F13</f>
        <v>9800</v>
      </c>
      <c r="I30" s="110">
        <f t="shared" si="7"/>
        <v>9800</v>
      </c>
      <c r="J30" s="90">
        <f t="shared" si="8"/>
        <v>9800</v>
      </c>
      <c r="K30" s="34"/>
      <c r="L30" s="34"/>
      <c r="M30" s="34"/>
      <c r="N30" s="34"/>
      <c r="O30" s="34"/>
      <c r="P30" s="34"/>
      <c r="Q30" s="34"/>
      <c r="R30" s="34"/>
      <c r="S30" s="34"/>
      <c r="T30" s="34"/>
      <c r="U30" s="34"/>
      <c r="V30" s="34"/>
      <c r="W30" s="34"/>
      <c r="X30" s="34"/>
    </row>
    <row r="31" ht="22.5" customHeight="1">
      <c r="A31" s="104" t="s">
        <v>149</v>
      </c>
      <c r="B31" s="105" t="b">
        <v>1</v>
      </c>
      <c r="C31" s="106" t="s">
        <v>119</v>
      </c>
      <c r="D31" s="106" t="s">
        <v>192</v>
      </c>
      <c r="E31" s="107" t="s">
        <v>193</v>
      </c>
      <c r="F31" s="108" t="s">
        <v>194</v>
      </c>
      <c r="G31" s="109">
        <v>1.0</v>
      </c>
      <c r="H31" s="110">
        <v>500.0</v>
      </c>
      <c r="I31" s="110">
        <f t="shared" si="7"/>
        <v>500</v>
      </c>
      <c r="J31" s="90">
        <f t="shared" si="8"/>
        <v>500</v>
      </c>
      <c r="K31" s="34"/>
      <c r="L31" s="34"/>
      <c r="M31" s="34"/>
      <c r="N31" s="34"/>
      <c r="O31" s="34"/>
      <c r="P31" s="34"/>
      <c r="Q31" s="34"/>
      <c r="R31" s="34"/>
      <c r="S31" s="34"/>
      <c r="T31" s="34"/>
      <c r="U31" s="34"/>
      <c r="V31" s="34"/>
      <c r="W31" s="34"/>
      <c r="X31" s="34"/>
    </row>
    <row r="32" ht="22.5" customHeight="1">
      <c r="A32" s="104" t="s">
        <v>149</v>
      </c>
      <c r="B32" s="105" t="b">
        <v>1</v>
      </c>
      <c r="C32" s="106" t="s">
        <v>119</v>
      </c>
      <c r="D32" s="106" t="s">
        <v>215</v>
      </c>
      <c r="E32" s="107" t="s">
        <v>118</v>
      </c>
      <c r="F32" s="108" t="s">
        <v>106</v>
      </c>
      <c r="G32" s="109">
        <v>1.0</v>
      </c>
      <c r="H32" s="110">
        <f>'PRODUCT LABOR &amp; SUBCONTRACT'!F15</f>
        <v>7500</v>
      </c>
      <c r="I32" s="110">
        <f t="shared" si="7"/>
        <v>7500</v>
      </c>
      <c r="J32" s="90">
        <f t="shared" si="8"/>
        <v>7500</v>
      </c>
      <c r="K32" s="34"/>
      <c r="L32" s="34"/>
      <c r="M32" s="34"/>
      <c r="N32" s="34"/>
      <c r="O32" s="34"/>
      <c r="P32" s="34"/>
      <c r="Q32" s="34"/>
      <c r="R32" s="34"/>
      <c r="S32" s="34"/>
      <c r="T32" s="34"/>
      <c r="U32" s="34"/>
      <c r="V32" s="34"/>
      <c r="W32" s="34"/>
      <c r="X32" s="34"/>
    </row>
    <row r="33" ht="22.5" customHeight="1">
      <c r="A33" s="104" t="s">
        <v>149</v>
      </c>
      <c r="B33" s="105" t="b">
        <v>1</v>
      </c>
      <c r="C33" s="106" t="s">
        <v>119</v>
      </c>
      <c r="D33" s="106" t="s">
        <v>216</v>
      </c>
      <c r="E33" s="107" t="s">
        <v>193</v>
      </c>
      <c r="F33" s="108" t="s">
        <v>197</v>
      </c>
      <c r="G33" s="109">
        <v>1.0</v>
      </c>
      <c r="H33" s="110">
        <v>235.0</v>
      </c>
      <c r="I33" s="110">
        <f t="shared" ref="I33:I34" si="9">(H33*G33)*1.115</f>
        <v>262.025</v>
      </c>
      <c r="J33" s="90">
        <f>I33*DATA!$C$21</f>
        <v>786.075</v>
      </c>
      <c r="K33" s="34"/>
      <c r="L33" s="34"/>
      <c r="M33" s="34"/>
      <c r="N33" s="34"/>
      <c r="O33" s="34"/>
      <c r="P33" s="34"/>
      <c r="Q33" s="34"/>
      <c r="R33" s="34"/>
      <c r="S33" s="34"/>
      <c r="T33" s="34"/>
      <c r="U33" s="34"/>
      <c r="V33" s="34"/>
      <c r="W33" s="34"/>
      <c r="X33" s="34"/>
    </row>
    <row r="34" ht="22.5" customHeight="1">
      <c r="A34" s="112" t="s">
        <v>149</v>
      </c>
      <c r="B34" s="105" t="b">
        <v>1</v>
      </c>
      <c r="C34" s="106" t="s">
        <v>119</v>
      </c>
      <c r="D34" s="106" t="s">
        <v>217</v>
      </c>
      <c r="E34" s="107" t="s">
        <v>193</v>
      </c>
      <c r="F34" s="108" t="s">
        <v>197</v>
      </c>
      <c r="G34" s="109">
        <v>1.0</v>
      </c>
      <c r="H34" s="110">
        <v>170.0</v>
      </c>
      <c r="I34" s="110">
        <f t="shared" si="9"/>
        <v>189.55</v>
      </c>
      <c r="J34" s="90">
        <f>I34*DATA!$C$21</f>
        <v>568.65</v>
      </c>
      <c r="K34" s="34"/>
      <c r="L34" s="34"/>
      <c r="M34" s="34"/>
      <c r="N34" s="34"/>
      <c r="O34" s="34"/>
      <c r="P34" s="34"/>
      <c r="Q34" s="34"/>
      <c r="R34" s="34"/>
      <c r="S34" s="34"/>
      <c r="T34" s="34"/>
      <c r="U34" s="34"/>
      <c r="V34" s="34"/>
      <c r="W34" s="34"/>
      <c r="X34" s="34"/>
    </row>
    <row r="35" ht="22.5" customHeight="1">
      <c r="A35" s="91" t="s">
        <v>153</v>
      </c>
      <c r="B35" s="84" t="b">
        <v>1</v>
      </c>
      <c r="C35" s="85" t="s">
        <v>154</v>
      </c>
      <c r="D35" s="85" t="s">
        <v>218</v>
      </c>
      <c r="E35" s="86" t="s">
        <v>193</v>
      </c>
      <c r="F35" s="87" t="s">
        <v>194</v>
      </c>
      <c r="G35" s="88">
        <v>1.0</v>
      </c>
      <c r="H35" s="89">
        <f>'PRODUCT LABOR &amp; SUBCONTRACT'!F19</f>
        <v>10000</v>
      </c>
      <c r="I35" s="89">
        <f t="shared" ref="I35:I37" si="10">H35*G35</f>
        <v>10000</v>
      </c>
      <c r="J35" s="90">
        <f>I35</f>
        <v>10000</v>
      </c>
      <c r="K35" s="34"/>
      <c r="L35" s="34"/>
      <c r="M35" s="34"/>
      <c r="N35" s="34"/>
      <c r="O35" s="34"/>
      <c r="P35" s="34"/>
      <c r="Q35" s="34"/>
      <c r="R35" s="34"/>
      <c r="S35" s="34"/>
      <c r="T35" s="34"/>
      <c r="U35" s="34"/>
      <c r="V35" s="34"/>
      <c r="W35" s="34"/>
      <c r="X35" s="34"/>
    </row>
    <row r="36" ht="22.5" customHeight="1">
      <c r="A36" s="91" t="s">
        <v>153</v>
      </c>
      <c r="B36" s="92" t="b">
        <v>1</v>
      </c>
      <c r="C36" s="93" t="s">
        <v>154</v>
      </c>
      <c r="D36" s="93" t="s">
        <v>219</v>
      </c>
      <c r="E36" s="94" t="s">
        <v>213</v>
      </c>
      <c r="F36" s="95" t="s">
        <v>106</v>
      </c>
      <c r="G36" s="96">
        <v>1.0</v>
      </c>
      <c r="H36" s="97">
        <f>'PRODUCT LABOR &amp; SUBCONTRACT'!F17</f>
        <v>500</v>
      </c>
      <c r="I36" s="97">
        <f t="shared" si="10"/>
        <v>500</v>
      </c>
      <c r="J36" s="90">
        <f>I36*DATA!$C$21</f>
        <v>1500</v>
      </c>
      <c r="K36" s="34"/>
      <c r="L36" s="34"/>
      <c r="M36" s="34"/>
      <c r="N36" s="34"/>
      <c r="O36" s="34"/>
      <c r="P36" s="34"/>
      <c r="Q36" s="34"/>
      <c r="R36" s="34"/>
      <c r="S36" s="34"/>
      <c r="T36" s="34"/>
      <c r="U36" s="34"/>
      <c r="V36" s="34"/>
      <c r="W36" s="34"/>
      <c r="X36" s="34"/>
    </row>
    <row r="37" ht="22.5" customHeight="1">
      <c r="A37" s="91" t="s">
        <v>153</v>
      </c>
      <c r="B37" s="92" t="b">
        <v>1</v>
      </c>
      <c r="C37" s="93" t="s">
        <v>154</v>
      </c>
      <c r="D37" s="93" t="s">
        <v>156</v>
      </c>
      <c r="E37" s="94" t="s">
        <v>120</v>
      </c>
      <c r="F37" s="95" t="s">
        <v>106</v>
      </c>
      <c r="G37" s="113">
        <v>1.0</v>
      </c>
      <c r="H37" s="97">
        <f>'PRODUCT LABOR &amp; SUBCONTRACT'!F18</f>
        <v>2200</v>
      </c>
      <c r="I37" s="97">
        <f t="shared" si="10"/>
        <v>2200</v>
      </c>
      <c r="J37" s="90">
        <f>I37</f>
        <v>2200</v>
      </c>
      <c r="K37" s="34"/>
      <c r="L37" s="34"/>
      <c r="M37" s="34"/>
      <c r="N37" s="34"/>
      <c r="O37" s="34"/>
      <c r="P37" s="34"/>
      <c r="Q37" s="34"/>
      <c r="R37" s="34"/>
      <c r="S37" s="34"/>
      <c r="T37" s="34"/>
      <c r="U37" s="34"/>
      <c r="V37" s="34"/>
      <c r="W37" s="34"/>
      <c r="X37" s="34"/>
    </row>
    <row r="38" ht="22.5" customHeight="1">
      <c r="A38" s="91" t="s">
        <v>153</v>
      </c>
      <c r="B38" s="92" t="b">
        <v>1</v>
      </c>
      <c r="C38" s="93" t="s">
        <v>154</v>
      </c>
      <c r="D38" s="93" t="s">
        <v>220</v>
      </c>
      <c r="E38" s="94" t="s">
        <v>193</v>
      </c>
      <c r="F38" s="95" t="s">
        <v>197</v>
      </c>
      <c r="G38" s="96">
        <v>30.0</v>
      </c>
      <c r="H38" s="97">
        <v>28.0</v>
      </c>
      <c r="I38" s="97">
        <f t="shared" ref="I38:I48" si="11">(H38*G38)*1.115</f>
        <v>936.6</v>
      </c>
      <c r="J38" s="90">
        <f>I38*DATA!$C$21</f>
        <v>2809.8</v>
      </c>
      <c r="K38" s="34"/>
      <c r="L38" s="34"/>
      <c r="M38" s="34"/>
      <c r="N38" s="34"/>
      <c r="O38" s="34"/>
      <c r="P38" s="34"/>
      <c r="Q38" s="34"/>
      <c r="R38" s="34"/>
      <c r="S38" s="34"/>
      <c r="T38" s="34"/>
      <c r="U38" s="34"/>
      <c r="V38" s="34"/>
      <c r="W38" s="34"/>
      <c r="X38" s="34"/>
    </row>
    <row r="39" ht="22.5" customHeight="1">
      <c r="A39" s="91" t="s">
        <v>153</v>
      </c>
      <c r="B39" s="92" t="b">
        <v>1</v>
      </c>
      <c r="C39" s="93" t="s">
        <v>154</v>
      </c>
      <c r="D39" s="93" t="s">
        <v>221</v>
      </c>
      <c r="E39" s="94" t="s">
        <v>193</v>
      </c>
      <c r="F39" s="95" t="s">
        <v>197</v>
      </c>
      <c r="G39" s="96">
        <v>12.0</v>
      </c>
      <c r="H39" s="97">
        <v>23.0</v>
      </c>
      <c r="I39" s="97">
        <f t="shared" si="11"/>
        <v>307.74</v>
      </c>
      <c r="J39" s="90">
        <f>I39*DATA!$C$21</f>
        <v>923.22</v>
      </c>
      <c r="K39" s="34"/>
      <c r="L39" s="34"/>
      <c r="M39" s="34"/>
      <c r="N39" s="34"/>
      <c r="O39" s="34"/>
      <c r="P39" s="34"/>
      <c r="Q39" s="34"/>
      <c r="R39" s="34"/>
      <c r="S39" s="34"/>
      <c r="T39" s="34"/>
      <c r="U39" s="34"/>
      <c r="V39" s="34"/>
      <c r="W39" s="34"/>
      <c r="X39" s="34"/>
    </row>
    <row r="40" ht="22.5" customHeight="1">
      <c r="A40" s="91" t="s">
        <v>153</v>
      </c>
      <c r="B40" s="92" t="b">
        <v>1</v>
      </c>
      <c r="C40" s="93" t="s">
        <v>154</v>
      </c>
      <c r="D40" s="93" t="s">
        <v>222</v>
      </c>
      <c r="E40" s="94" t="s">
        <v>193</v>
      </c>
      <c r="F40" s="95" t="s">
        <v>197</v>
      </c>
      <c r="G40" s="96">
        <v>5.0</v>
      </c>
      <c r="H40" s="97">
        <v>25.0</v>
      </c>
      <c r="I40" s="97">
        <f t="shared" si="11"/>
        <v>139.375</v>
      </c>
      <c r="J40" s="90">
        <f>I40*DATA!$C$21</f>
        <v>418.125</v>
      </c>
      <c r="K40" s="34"/>
      <c r="L40" s="34"/>
      <c r="M40" s="34"/>
      <c r="N40" s="34"/>
      <c r="O40" s="34"/>
      <c r="P40" s="34"/>
      <c r="Q40" s="34"/>
      <c r="R40" s="34"/>
      <c r="S40" s="34"/>
      <c r="T40" s="34"/>
      <c r="U40" s="34"/>
      <c r="V40" s="34"/>
      <c r="W40" s="34"/>
      <c r="X40" s="34"/>
    </row>
    <row r="41" ht="22.5" customHeight="1">
      <c r="A41" s="91" t="s">
        <v>153</v>
      </c>
      <c r="B41" s="92" t="b">
        <v>1</v>
      </c>
      <c r="C41" s="93" t="s">
        <v>154</v>
      </c>
      <c r="D41" s="93" t="s">
        <v>223</v>
      </c>
      <c r="E41" s="94" t="s">
        <v>193</v>
      </c>
      <c r="F41" s="95" t="s">
        <v>197</v>
      </c>
      <c r="G41" s="96">
        <v>5.0</v>
      </c>
      <c r="H41" s="97">
        <v>42.0</v>
      </c>
      <c r="I41" s="97">
        <f t="shared" si="11"/>
        <v>234.15</v>
      </c>
      <c r="J41" s="90">
        <f>I41*DATA!$C$21</f>
        <v>702.45</v>
      </c>
      <c r="K41" s="34"/>
      <c r="L41" s="34"/>
      <c r="M41" s="34"/>
      <c r="N41" s="34"/>
      <c r="O41" s="34"/>
      <c r="P41" s="34"/>
      <c r="Q41" s="34"/>
      <c r="R41" s="34"/>
      <c r="S41" s="34"/>
      <c r="T41" s="34"/>
      <c r="U41" s="34"/>
      <c r="V41" s="34"/>
      <c r="W41" s="34"/>
      <c r="X41" s="34"/>
    </row>
    <row r="42" ht="22.5" customHeight="1">
      <c r="A42" s="91" t="s">
        <v>153</v>
      </c>
      <c r="B42" s="92" t="b">
        <v>1</v>
      </c>
      <c r="C42" s="93" t="s">
        <v>154</v>
      </c>
      <c r="D42" s="93" t="s">
        <v>224</v>
      </c>
      <c r="E42" s="94" t="s">
        <v>193</v>
      </c>
      <c r="F42" s="95" t="s">
        <v>197</v>
      </c>
      <c r="G42" s="96">
        <v>2.0</v>
      </c>
      <c r="H42" s="97">
        <v>88.0</v>
      </c>
      <c r="I42" s="97">
        <f t="shared" si="11"/>
        <v>196.24</v>
      </c>
      <c r="J42" s="90">
        <f>I42*DATA!$C$21</f>
        <v>588.72</v>
      </c>
      <c r="K42" s="34"/>
      <c r="L42" s="34"/>
      <c r="M42" s="34"/>
      <c r="N42" s="34"/>
      <c r="O42" s="34"/>
      <c r="P42" s="34"/>
      <c r="Q42" s="34"/>
      <c r="R42" s="34"/>
      <c r="S42" s="34"/>
      <c r="T42" s="34"/>
      <c r="U42" s="34"/>
      <c r="V42" s="34"/>
      <c r="W42" s="34"/>
      <c r="X42" s="34"/>
    </row>
    <row r="43" ht="22.5" customHeight="1">
      <c r="A43" s="91" t="s">
        <v>153</v>
      </c>
      <c r="B43" s="92" t="b">
        <v>1</v>
      </c>
      <c r="C43" s="93" t="s">
        <v>154</v>
      </c>
      <c r="D43" s="93" t="s">
        <v>225</v>
      </c>
      <c r="E43" s="94" t="s">
        <v>193</v>
      </c>
      <c r="F43" s="95" t="s">
        <v>197</v>
      </c>
      <c r="G43" s="96">
        <v>50.0</v>
      </c>
      <c r="H43" s="97">
        <v>4.0</v>
      </c>
      <c r="I43" s="97">
        <f t="shared" si="11"/>
        <v>223</v>
      </c>
      <c r="J43" s="90">
        <f>I43*DATA!$C$21</f>
        <v>669</v>
      </c>
      <c r="K43" s="34"/>
      <c r="L43" s="34"/>
      <c r="M43" s="34"/>
      <c r="N43" s="34"/>
      <c r="O43" s="34"/>
      <c r="P43" s="34"/>
      <c r="Q43" s="34"/>
      <c r="R43" s="34"/>
      <c r="S43" s="34"/>
      <c r="T43" s="34"/>
      <c r="U43" s="34"/>
      <c r="V43" s="34"/>
      <c r="W43" s="34"/>
      <c r="X43" s="34"/>
    </row>
    <row r="44" ht="22.5" customHeight="1">
      <c r="A44" s="91" t="s">
        <v>153</v>
      </c>
      <c r="B44" s="92" t="b">
        <v>1</v>
      </c>
      <c r="C44" s="93" t="s">
        <v>154</v>
      </c>
      <c r="D44" s="93" t="s">
        <v>199</v>
      </c>
      <c r="E44" s="94" t="s">
        <v>193</v>
      </c>
      <c r="F44" s="95" t="s">
        <v>197</v>
      </c>
      <c r="G44" s="96">
        <v>1.0</v>
      </c>
      <c r="H44" s="97">
        <v>600.0</v>
      </c>
      <c r="I44" s="97">
        <f t="shared" si="11"/>
        <v>669</v>
      </c>
      <c r="J44" s="90">
        <f>I44*DATA!$C$21</f>
        <v>2007</v>
      </c>
      <c r="K44" s="34"/>
      <c r="L44" s="34"/>
      <c r="M44" s="34"/>
      <c r="N44" s="34"/>
      <c r="O44" s="34"/>
      <c r="P44" s="34"/>
      <c r="Q44" s="34"/>
      <c r="R44" s="34"/>
      <c r="S44" s="34"/>
      <c r="T44" s="34"/>
      <c r="U44" s="34"/>
      <c r="V44" s="34"/>
      <c r="W44" s="34"/>
      <c r="X44" s="34"/>
    </row>
    <row r="45" ht="22.5" customHeight="1">
      <c r="A45" s="91" t="s">
        <v>153</v>
      </c>
      <c r="B45" s="92" t="b">
        <v>1</v>
      </c>
      <c r="C45" s="93" t="s">
        <v>154</v>
      </c>
      <c r="D45" s="93" t="s">
        <v>226</v>
      </c>
      <c r="E45" s="94" t="s">
        <v>193</v>
      </c>
      <c r="F45" s="95" t="s">
        <v>197</v>
      </c>
      <c r="G45" s="96">
        <v>1.0</v>
      </c>
      <c r="H45" s="97">
        <v>100.0</v>
      </c>
      <c r="I45" s="97">
        <f t="shared" si="11"/>
        <v>111.5</v>
      </c>
      <c r="J45" s="90">
        <f>I45*DATA!$C$21</f>
        <v>334.5</v>
      </c>
      <c r="K45" s="34"/>
      <c r="L45" s="34"/>
      <c r="M45" s="34"/>
      <c r="N45" s="34"/>
      <c r="O45" s="34"/>
      <c r="P45" s="34"/>
      <c r="Q45" s="34"/>
      <c r="R45" s="34"/>
      <c r="S45" s="34"/>
      <c r="T45" s="34"/>
      <c r="U45" s="34"/>
      <c r="V45" s="34"/>
      <c r="W45" s="34"/>
      <c r="X45" s="34"/>
    </row>
    <row r="46" ht="22.5" customHeight="1">
      <c r="A46" s="91" t="s">
        <v>153</v>
      </c>
      <c r="B46" s="92" t="b">
        <v>1</v>
      </c>
      <c r="C46" s="93" t="s">
        <v>154</v>
      </c>
      <c r="D46" s="93" t="s">
        <v>227</v>
      </c>
      <c r="E46" s="94" t="s">
        <v>193</v>
      </c>
      <c r="F46" s="95" t="s">
        <v>197</v>
      </c>
      <c r="G46" s="96">
        <v>2.0</v>
      </c>
      <c r="H46" s="97">
        <v>30.0</v>
      </c>
      <c r="I46" s="97">
        <f t="shared" si="11"/>
        <v>66.9</v>
      </c>
      <c r="J46" s="90">
        <f>I46*DATA!$C$21</f>
        <v>200.7</v>
      </c>
      <c r="K46" s="34"/>
      <c r="L46" s="34"/>
      <c r="M46" s="34"/>
      <c r="N46" s="34"/>
      <c r="O46" s="34"/>
      <c r="P46" s="34"/>
      <c r="Q46" s="34"/>
      <c r="R46" s="34"/>
      <c r="S46" s="34"/>
      <c r="T46" s="34"/>
      <c r="U46" s="34"/>
      <c r="V46" s="34"/>
      <c r="W46" s="34"/>
      <c r="X46" s="34"/>
    </row>
    <row r="47" ht="22.5" customHeight="1">
      <c r="A47" s="91" t="s">
        <v>153</v>
      </c>
      <c r="B47" s="92" t="b">
        <v>1</v>
      </c>
      <c r="C47" s="93" t="s">
        <v>154</v>
      </c>
      <c r="D47" s="93" t="s">
        <v>228</v>
      </c>
      <c r="E47" s="94" t="s">
        <v>193</v>
      </c>
      <c r="F47" s="95" t="s">
        <v>197</v>
      </c>
      <c r="G47" s="96">
        <v>15.0</v>
      </c>
      <c r="H47" s="97">
        <v>88.0</v>
      </c>
      <c r="I47" s="97">
        <f t="shared" si="11"/>
        <v>1471.8</v>
      </c>
      <c r="J47" s="90">
        <f>I47*DATA!$C$21</f>
        <v>4415.4</v>
      </c>
      <c r="K47" s="34"/>
      <c r="L47" s="34"/>
      <c r="M47" s="34"/>
      <c r="N47" s="34"/>
      <c r="O47" s="34"/>
      <c r="P47" s="34"/>
      <c r="Q47" s="34"/>
      <c r="R47" s="34"/>
      <c r="S47" s="34"/>
      <c r="T47" s="34"/>
      <c r="U47" s="34"/>
      <c r="V47" s="34"/>
      <c r="W47" s="34"/>
      <c r="X47" s="34"/>
    </row>
    <row r="48" ht="22.5" customHeight="1">
      <c r="A48" s="91" t="s">
        <v>153</v>
      </c>
      <c r="B48" s="92" t="b">
        <v>1</v>
      </c>
      <c r="C48" s="93" t="s">
        <v>154</v>
      </c>
      <c r="D48" s="93" t="s">
        <v>229</v>
      </c>
      <c r="E48" s="94" t="s">
        <v>193</v>
      </c>
      <c r="F48" s="95" t="s">
        <v>197</v>
      </c>
      <c r="G48" s="113">
        <v>3.0</v>
      </c>
      <c r="H48" s="97">
        <v>650.0</v>
      </c>
      <c r="I48" s="97">
        <f t="shared" si="11"/>
        <v>2174.25</v>
      </c>
      <c r="J48" s="90">
        <f t="shared" ref="J48:J49" si="12">I48</f>
        <v>2174.25</v>
      </c>
      <c r="K48" s="34"/>
      <c r="L48" s="34"/>
      <c r="M48" s="34"/>
      <c r="N48" s="34"/>
      <c r="O48" s="34"/>
      <c r="P48" s="34"/>
      <c r="Q48" s="34"/>
      <c r="R48" s="34"/>
      <c r="S48" s="34"/>
      <c r="T48" s="34"/>
      <c r="U48" s="34"/>
      <c r="V48" s="34"/>
      <c r="W48" s="34"/>
      <c r="X48" s="34"/>
    </row>
    <row r="49" ht="22.5" customHeight="1">
      <c r="A49" s="91" t="s">
        <v>153</v>
      </c>
      <c r="B49" s="92" t="b">
        <v>1</v>
      </c>
      <c r="C49" s="93" t="s">
        <v>157</v>
      </c>
      <c r="D49" s="93" t="s">
        <v>158</v>
      </c>
      <c r="E49" s="94" t="s">
        <v>230</v>
      </c>
      <c r="F49" s="95" t="s">
        <v>106</v>
      </c>
      <c r="G49" s="96">
        <v>1.0</v>
      </c>
      <c r="H49" s="97">
        <f>'PRODUCT LABOR &amp; SUBCONTRACT'!F20</f>
        <v>6000</v>
      </c>
      <c r="I49" s="97">
        <f>H49*G49</f>
        <v>6000</v>
      </c>
      <c r="J49" s="90">
        <f t="shared" si="12"/>
        <v>6000</v>
      </c>
      <c r="K49" s="34"/>
      <c r="L49" s="34"/>
      <c r="M49" s="34"/>
      <c r="N49" s="34"/>
      <c r="O49" s="34"/>
      <c r="P49" s="34"/>
      <c r="Q49" s="34"/>
      <c r="R49" s="34"/>
      <c r="S49" s="34"/>
      <c r="T49" s="34"/>
      <c r="U49" s="34"/>
      <c r="V49" s="34"/>
      <c r="W49" s="34"/>
      <c r="X49" s="34"/>
    </row>
    <row r="50" ht="22.5" customHeight="1">
      <c r="A50" s="91" t="s">
        <v>153</v>
      </c>
      <c r="B50" s="92" t="b">
        <v>1</v>
      </c>
      <c r="C50" s="93" t="s">
        <v>157</v>
      </c>
      <c r="D50" s="93" t="s">
        <v>231</v>
      </c>
      <c r="E50" s="94" t="s">
        <v>193</v>
      </c>
      <c r="F50" s="95" t="s">
        <v>197</v>
      </c>
      <c r="G50" s="96">
        <v>3.0</v>
      </c>
      <c r="H50" s="97">
        <v>16.0</v>
      </c>
      <c r="I50" s="97">
        <f t="shared" ref="I50:I59" si="13">(H50*G50)*1.115</f>
        <v>53.52</v>
      </c>
      <c r="J50" s="90">
        <f>I50*DATA!$C$21</f>
        <v>160.56</v>
      </c>
      <c r="K50" s="34"/>
      <c r="L50" s="34"/>
      <c r="M50" s="34"/>
      <c r="N50" s="34"/>
      <c r="O50" s="34"/>
      <c r="P50" s="34"/>
      <c r="Q50" s="34"/>
      <c r="R50" s="34"/>
      <c r="S50" s="34"/>
      <c r="T50" s="34"/>
      <c r="U50" s="34"/>
      <c r="V50" s="34"/>
      <c r="W50" s="34"/>
      <c r="X50" s="34"/>
    </row>
    <row r="51" ht="22.5" customHeight="1">
      <c r="A51" s="91" t="s">
        <v>153</v>
      </c>
      <c r="B51" s="92" t="b">
        <v>1</v>
      </c>
      <c r="C51" s="93" t="s">
        <v>157</v>
      </c>
      <c r="D51" s="93" t="s">
        <v>232</v>
      </c>
      <c r="E51" s="94" t="s">
        <v>193</v>
      </c>
      <c r="F51" s="95" t="s">
        <v>197</v>
      </c>
      <c r="G51" s="96">
        <v>3.0</v>
      </c>
      <c r="H51" s="97">
        <v>27.0</v>
      </c>
      <c r="I51" s="97">
        <f t="shared" si="13"/>
        <v>90.315</v>
      </c>
      <c r="J51" s="90">
        <f>I51*DATA!$C$21</f>
        <v>270.945</v>
      </c>
      <c r="K51" s="34"/>
      <c r="L51" s="34"/>
      <c r="M51" s="34"/>
      <c r="N51" s="34"/>
      <c r="O51" s="34"/>
      <c r="P51" s="34"/>
      <c r="Q51" s="34"/>
      <c r="R51" s="34"/>
      <c r="S51" s="34"/>
      <c r="T51" s="34"/>
      <c r="U51" s="34"/>
      <c r="V51" s="34"/>
      <c r="W51" s="34"/>
      <c r="X51" s="34"/>
    </row>
    <row r="52" ht="22.5" customHeight="1">
      <c r="A52" s="91" t="s">
        <v>153</v>
      </c>
      <c r="B52" s="92" t="b">
        <v>1</v>
      </c>
      <c r="C52" s="93" t="s">
        <v>157</v>
      </c>
      <c r="D52" s="93" t="s">
        <v>233</v>
      </c>
      <c r="E52" s="94" t="s">
        <v>193</v>
      </c>
      <c r="F52" s="95" t="s">
        <v>197</v>
      </c>
      <c r="G52" s="96">
        <v>3.0</v>
      </c>
      <c r="H52" s="97">
        <v>9.0</v>
      </c>
      <c r="I52" s="97">
        <f t="shared" si="13"/>
        <v>30.105</v>
      </c>
      <c r="J52" s="90">
        <f>I52*DATA!$C$21</f>
        <v>90.315</v>
      </c>
      <c r="K52" s="34"/>
      <c r="L52" s="34"/>
      <c r="M52" s="34"/>
      <c r="N52" s="34"/>
      <c r="O52" s="34"/>
      <c r="P52" s="34"/>
      <c r="Q52" s="34"/>
      <c r="R52" s="34"/>
      <c r="S52" s="34"/>
      <c r="T52" s="34"/>
      <c r="U52" s="34"/>
      <c r="V52" s="34"/>
      <c r="W52" s="34"/>
      <c r="X52" s="34"/>
    </row>
    <row r="53" ht="22.5" customHeight="1">
      <c r="A53" s="91" t="s">
        <v>153</v>
      </c>
      <c r="B53" s="92" t="b">
        <v>1</v>
      </c>
      <c r="C53" s="93" t="s">
        <v>157</v>
      </c>
      <c r="D53" s="93" t="s">
        <v>234</v>
      </c>
      <c r="E53" s="94" t="s">
        <v>193</v>
      </c>
      <c r="F53" s="95" t="s">
        <v>197</v>
      </c>
      <c r="G53" s="96">
        <v>1.0</v>
      </c>
      <c r="H53" s="97">
        <v>1000.0</v>
      </c>
      <c r="I53" s="97">
        <f t="shared" si="13"/>
        <v>1115</v>
      </c>
      <c r="J53" s="90">
        <f>I53*DATA!$C$21</f>
        <v>3345</v>
      </c>
      <c r="K53" s="34"/>
      <c r="L53" s="34"/>
      <c r="M53" s="34"/>
      <c r="N53" s="34"/>
      <c r="O53" s="34"/>
      <c r="P53" s="34"/>
      <c r="Q53" s="34"/>
      <c r="R53" s="34"/>
      <c r="S53" s="34"/>
      <c r="T53" s="34"/>
      <c r="U53" s="34"/>
      <c r="V53" s="34"/>
      <c r="W53" s="34"/>
      <c r="X53" s="34"/>
    </row>
    <row r="54" ht="22.5" customHeight="1">
      <c r="A54" s="91" t="s">
        <v>153</v>
      </c>
      <c r="B54" s="92" t="b">
        <v>1</v>
      </c>
      <c r="C54" s="93" t="s">
        <v>157</v>
      </c>
      <c r="D54" s="93" t="s">
        <v>235</v>
      </c>
      <c r="E54" s="94" t="s">
        <v>193</v>
      </c>
      <c r="F54" s="95" t="s">
        <v>197</v>
      </c>
      <c r="G54" s="96">
        <v>1.0</v>
      </c>
      <c r="H54" s="97">
        <v>27.0</v>
      </c>
      <c r="I54" s="97">
        <f t="shared" si="13"/>
        <v>30.105</v>
      </c>
      <c r="J54" s="90">
        <f>I54*DATA!$C$21</f>
        <v>90.315</v>
      </c>
      <c r="K54" s="34"/>
      <c r="L54" s="34"/>
      <c r="M54" s="34"/>
      <c r="N54" s="34"/>
      <c r="O54" s="34"/>
      <c r="P54" s="34"/>
      <c r="Q54" s="34"/>
      <c r="R54" s="34"/>
      <c r="S54" s="34"/>
      <c r="T54" s="34"/>
      <c r="U54" s="34"/>
      <c r="V54" s="34"/>
      <c r="W54" s="34"/>
      <c r="X54" s="34"/>
    </row>
    <row r="55" ht="22.5" customHeight="1">
      <c r="A55" s="91" t="s">
        <v>153</v>
      </c>
      <c r="B55" s="92" t="b">
        <v>1</v>
      </c>
      <c r="C55" s="93" t="s">
        <v>157</v>
      </c>
      <c r="D55" s="93" t="s">
        <v>236</v>
      </c>
      <c r="E55" s="94" t="s">
        <v>193</v>
      </c>
      <c r="F55" s="95" t="s">
        <v>197</v>
      </c>
      <c r="G55" s="96">
        <v>1.0</v>
      </c>
      <c r="H55" s="97">
        <v>80.0</v>
      </c>
      <c r="I55" s="97">
        <f t="shared" si="13"/>
        <v>89.2</v>
      </c>
      <c r="J55" s="90">
        <f>I55*DATA!$C$21</f>
        <v>267.6</v>
      </c>
      <c r="K55" s="34"/>
      <c r="L55" s="34"/>
      <c r="M55" s="34"/>
      <c r="N55" s="34"/>
      <c r="O55" s="34"/>
      <c r="P55" s="34"/>
      <c r="Q55" s="34"/>
      <c r="R55" s="34"/>
      <c r="S55" s="34"/>
      <c r="T55" s="34"/>
      <c r="U55" s="34"/>
      <c r="V55" s="34"/>
      <c r="W55" s="34"/>
      <c r="X55" s="34"/>
    </row>
    <row r="56" ht="22.5" customHeight="1">
      <c r="A56" s="91" t="s">
        <v>153</v>
      </c>
      <c r="B56" s="92" t="b">
        <v>1</v>
      </c>
      <c r="C56" s="93" t="s">
        <v>157</v>
      </c>
      <c r="D56" s="93" t="s">
        <v>237</v>
      </c>
      <c r="E56" s="94" t="s">
        <v>193</v>
      </c>
      <c r="F56" s="95" t="s">
        <v>197</v>
      </c>
      <c r="G56" s="96">
        <v>1.0</v>
      </c>
      <c r="H56" s="97">
        <v>13.0</v>
      </c>
      <c r="I56" s="97">
        <f t="shared" si="13"/>
        <v>14.495</v>
      </c>
      <c r="J56" s="90">
        <f>I56*DATA!$C$21</f>
        <v>43.485</v>
      </c>
      <c r="K56" s="34"/>
      <c r="L56" s="34"/>
      <c r="M56" s="34"/>
      <c r="N56" s="34"/>
      <c r="O56" s="34"/>
      <c r="P56" s="34"/>
      <c r="Q56" s="34"/>
      <c r="R56" s="34"/>
      <c r="S56" s="34"/>
      <c r="T56" s="34"/>
      <c r="U56" s="34"/>
      <c r="V56" s="34"/>
      <c r="W56" s="34"/>
      <c r="X56" s="34"/>
    </row>
    <row r="57" ht="22.5" customHeight="1">
      <c r="A57" s="91" t="s">
        <v>153</v>
      </c>
      <c r="B57" s="92" t="b">
        <v>0</v>
      </c>
      <c r="C57" s="93" t="s">
        <v>157</v>
      </c>
      <c r="D57" s="93" t="s">
        <v>238</v>
      </c>
      <c r="E57" s="94" t="s">
        <v>193</v>
      </c>
      <c r="F57" s="95" t="s">
        <v>197</v>
      </c>
      <c r="G57" s="113">
        <v>0.0</v>
      </c>
      <c r="H57" s="97">
        <v>0.0</v>
      </c>
      <c r="I57" s="97">
        <f t="shared" si="13"/>
        <v>0</v>
      </c>
      <c r="J57" s="90">
        <f t="shared" ref="J57:J71" si="14">I57</f>
        <v>0</v>
      </c>
      <c r="K57" s="34"/>
      <c r="L57" s="34"/>
      <c r="M57" s="34"/>
      <c r="N57" s="34"/>
      <c r="O57" s="34"/>
      <c r="P57" s="34"/>
      <c r="Q57" s="34"/>
      <c r="R57" s="34"/>
      <c r="S57" s="34"/>
      <c r="T57" s="34"/>
      <c r="U57" s="34"/>
      <c r="V57" s="34"/>
      <c r="W57" s="34"/>
      <c r="X57" s="34"/>
    </row>
    <row r="58" ht="22.5" customHeight="1">
      <c r="A58" s="91" t="s">
        <v>153</v>
      </c>
      <c r="B58" s="92" t="b">
        <v>0</v>
      </c>
      <c r="C58" s="93" t="s">
        <v>157</v>
      </c>
      <c r="D58" s="93" t="s">
        <v>239</v>
      </c>
      <c r="E58" s="94" t="s">
        <v>193</v>
      </c>
      <c r="F58" s="95" t="s">
        <v>197</v>
      </c>
      <c r="G58" s="113">
        <v>0.0</v>
      </c>
      <c r="H58" s="97">
        <v>1000.0</v>
      </c>
      <c r="I58" s="97">
        <f t="shared" si="13"/>
        <v>0</v>
      </c>
      <c r="J58" s="90">
        <f t="shared" si="14"/>
        <v>0</v>
      </c>
      <c r="K58" s="34"/>
      <c r="L58" s="34"/>
      <c r="M58" s="34"/>
      <c r="N58" s="34"/>
      <c r="O58" s="34"/>
      <c r="P58" s="34"/>
      <c r="Q58" s="34"/>
      <c r="R58" s="34"/>
      <c r="S58" s="34"/>
      <c r="T58" s="34"/>
      <c r="U58" s="34"/>
      <c r="V58" s="34"/>
      <c r="W58" s="34"/>
      <c r="X58" s="34"/>
    </row>
    <row r="59" ht="22.5" customHeight="1">
      <c r="A59" s="91" t="s">
        <v>153</v>
      </c>
      <c r="B59" s="92" t="b">
        <v>0</v>
      </c>
      <c r="C59" s="93" t="s">
        <v>157</v>
      </c>
      <c r="D59" s="93" t="s">
        <v>240</v>
      </c>
      <c r="E59" s="94" t="s">
        <v>193</v>
      </c>
      <c r="F59" s="95" t="s">
        <v>197</v>
      </c>
      <c r="G59" s="113">
        <v>0.0</v>
      </c>
      <c r="H59" s="97">
        <v>50.0</v>
      </c>
      <c r="I59" s="97">
        <f t="shared" si="13"/>
        <v>0</v>
      </c>
      <c r="J59" s="90">
        <f t="shared" si="14"/>
        <v>0</v>
      </c>
      <c r="K59" s="34"/>
      <c r="L59" s="34"/>
      <c r="M59" s="34"/>
      <c r="N59" s="34"/>
      <c r="O59" s="34"/>
      <c r="P59" s="34"/>
      <c r="Q59" s="34"/>
      <c r="R59" s="34"/>
      <c r="S59" s="34"/>
      <c r="T59" s="34"/>
      <c r="U59" s="34"/>
      <c r="V59" s="34"/>
      <c r="W59" s="34"/>
      <c r="X59" s="34"/>
    </row>
    <row r="60" ht="22.5" customHeight="1">
      <c r="A60" s="91" t="s">
        <v>153</v>
      </c>
      <c r="B60" s="92" t="b">
        <v>1</v>
      </c>
      <c r="C60" s="93" t="s">
        <v>157</v>
      </c>
      <c r="D60" s="93" t="s">
        <v>192</v>
      </c>
      <c r="E60" s="94" t="s">
        <v>193</v>
      </c>
      <c r="F60" s="95" t="s">
        <v>194</v>
      </c>
      <c r="G60" s="96">
        <v>1.0</v>
      </c>
      <c r="H60" s="97">
        <v>500.0</v>
      </c>
      <c r="I60" s="97">
        <f t="shared" ref="I60:I64" si="15">H60*G60</f>
        <v>500</v>
      </c>
      <c r="J60" s="90">
        <f t="shared" si="14"/>
        <v>500</v>
      </c>
      <c r="K60" s="34"/>
      <c r="L60" s="34"/>
      <c r="M60" s="34"/>
      <c r="N60" s="34"/>
      <c r="O60" s="34"/>
      <c r="P60" s="34"/>
      <c r="Q60" s="34"/>
      <c r="R60" s="34"/>
      <c r="S60" s="34"/>
      <c r="T60" s="34"/>
      <c r="U60" s="34"/>
      <c r="V60" s="34"/>
      <c r="W60" s="34"/>
      <c r="X60" s="34"/>
    </row>
    <row r="61" ht="22.5" customHeight="1">
      <c r="A61" s="91" t="s">
        <v>153</v>
      </c>
      <c r="B61" s="92" t="b">
        <v>1</v>
      </c>
      <c r="C61" s="93" t="s">
        <v>119</v>
      </c>
      <c r="D61" s="93" t="s">
        <v>192</v>
      </c>
      <c r="E61" s="94" t="s">
        <v>193</v>
      </c>
      <c r="F61" s="95" t="s">
        <v>194</v>
      </c>
      <c r="G61" s="96">
        <v>1.0</v>
      </c>
      <c r="H61" s="97">
        <v>500.0</v>
      </c>
      <c r="I61" s="97">
        <f t="shared" si="15"/>
        <v>500</v>
      </c>
      <c r="J61" s="90">
        <f t="shared" si="14"/>
        <v>500</v>
      </c>
      <c r="K61" s="34"/>
      <c r="L61" s="34"/>
      <c r="M61" s="34"/>
      <c r="N61" s="34"/>
      <c r="O61" s="34"/>
      <c r="P61" s="34"/>
      <c r="Q61" s="34"/>
      <c r="R61" s="34"/>
      <c r="S61" s="34"/>
      <c r="T61" s="34"/>
      <c r="U61" s="34"/>
      <c r="V61" s="34"/>
      <c r="W61" s="34"/>
      <c r="X61" s="34"/>
    </row>
    <row r="62" ht="22.5" customHeight="1">
      <c r="A62" s="98" t="s">
        <v>153</v>
      </c>
      <c r="B62" s="99" t="b">
        <v>1</v>
      </c>
      <c r="C62" s="100" t="s">
        <v>119</v>
      </c>
      <c r="D62" s="100" t="s">
        <v>241</v>
      </c>
      <c r="E62" s="101" t="s">
        <v>118</v>
      </c>
      <c r="F62" s="102" t="s">
        <v>106</v>
      </c>
      <c r="G62" s="61">
        <v>1.0</v>
      </c>
      <c r="H62" s="103">
        <f>'PRODUCT LABOR &amp; SUBCONTRACT'!F16</f>
        <v>7500</v>
      </c>
      <c r="I62" s="103">
        <f t="shared" si="15"/>
        <v>7500</v>
      </c>
      <c r="J62" s="90">
        <f t="shared" si="14"/>
        <v>7500</v>
      </c>
      <c r="K62" s="34"/>
      <c r="L62" s="34"/>
      <c r="M62" s="34"/>
      <c r="N62" s="34"/>
      <c r="O62" s="34"/>
      <c r="P62" s="34"/>
      <c r="Q62" s="34"/>
      <c r="R62" s="34"/>
      <c r="S62" s="34"/>
      <c r="T62" s="34"/>
      <c r="U62" s="34"/>
      <c r="V62" s="34"/>
      <c r="W62" s="34"/>
      <c r="X62" s="34"/>
    </row>
    <row r="63" ht="22.5" customHeight="1">
      <c r="A63" s="104" t="s">
        <v>159</v>
      </c>
      <c r="B63" s="105" t="b">
        <v>1</v>
      </c>
      <c r="C63" s="106" t="s">
        <v>160</v>
      </c>
      <c r="D63" s="106" t="s">
        <v>242</v>
      </c>
      <c r="E63" s="107" t="s">
        <v>116</v>
      </c>
      <c r="F63" s="108" t="s">
        <v>106</v>
      </c>
      <c r="G63" s="108">
        <v>1.0</v>
      </c>
      <c r="H63" s="110">
        <f>'PRODUCT LABOR &amp; SUBCONTRACT'!F21</f>
        <v>1000</v>
      </c>
      <c r="I63" s="110">
        <f t="shared" si="15"/>
        <v>1000</v>
      </c>
      <c r="J63" s="90">
        <f t="shared" si="14"/>
        <v>1000</v>
      </c>
      <c r="K63" s="34"/>
      <c r="L63" s="34"/>
      <c r="M63" s="34"/>
      <c r="N63" s="34"/>
      <c r="O63" s="34"/>
      <c r="P63" s="34"/>
      <c r="Q63" s="34"/>
      <c r="R63" s="34"/>
      <c r="S63" s="34"/>
      <c r="T63" s="34"/>
      <c r="U63" s="34"/>
      <c r="V63" s="34"/>
      <c r="W63" s="34"/>
      <c r="X63" s="34"/>
    </row>
    <row r="64" ht="22.5" customHeight="1">
      <c r="A64" s="104" t="s">
        <v>159</v>
      </c>
      <c r="B64" s="105" t="b">
        <v>1</v>
      </c>
      <c r="C64" s="106" t="s">
        <v>160</v>
      </c>
      <c r="D64" s="106" t="s">
        <v>243</v>
      </c>
      <c r="E64" s="107" t="s">
        <v>193</v>
      </c>
      <c r="F64" s="108" t="s">
        <v>194</v>
      </c>
      <c r="G64" s="108">
        <v>1.0</v>
      </c>
      <c r="H64" s="110">
        <f>'PRODUCT LABOR &amp; SUBCONTRACT'!F22+'PRODUCT LABOR &amp; SUBCONTRACT'!F23</f>
        <v>10400</v>
      </c>
      <c r="I64" s="110">
        <f t="shared" si="15"/>
        <v>10400</v>
      </c>
      <c r="J64" s="90">
        <f t="shared" si="14"/>
        <v>10400</v>
      </c>
      <c r="K64" s="34"/>
      <c r="L64" s="34"/>
      <c r="M64" s="34"/>
      <c r="N64" s="34"/>
      <c r="O64" s="34"/>
      <c r="P64" s="34"/>
      <c r="Q64" s="34"/>
      <c r="R64" s="34"/>
      <c r="S64" s="34"/>
      <c r="T64" s="34"/>
      <c r="U64" s="34"/>
      <c r="V64" s="34"/>
      <c r="W64" s="34"/>
      <c r="X64" s="34"/>
    </row>
    <row r="65" ht="22.5" customHeight="1">
      <c r="A65" s="104" t="s">
        <v>159</v>
      </c>
      <c r="B65" s="105" t="b">
        <v>1</v>
      </c>
      <c r="C65" s="106" t="s">
        <v>160</v>
      </c>
      <c r="D65" s="106" t="s">
        <v>244</v>
      </c>
      <c r="E65" s="107" t="s">
        <v>193</v>
      </c>
      <c r="F65" s="108" t="s">
        <v>197</v>
      </c>
      <c r="G65" s="113">
        <v>15.0</v>
      </c>
      <c r="H65" s="110">
        <v>60.0</v>
      </c>
      <c r="I65" s="110">
        <f t="shared" ref="I65:I76" si="16">(H65*G65)*1.115</f>
        <v>1003.5</v>
      </c>
      <c r="J65" s="90">
        <f t="shared" si="14"/>
        <v>1003.5</v>
      </c>
      <c r="K65" s="34"/>
      <c r="L65" s="34"/>
      <c r="M65" s="34"/>
      <c r="N65" s="34"/>
      <c r="O65" s="34"/>
      <c r="P65" s="34"/>
      <c r="Q65" s="34"/>
      <c r="R65" s="34"/>
      <c r="S65" s="34"/>
      <c r="T65" s="34"/>
      <c r="U65" s="34"/>
      <c r="V65" s="34"/>
      <c r="W65" s="34"/>
      <c r="X65" s="34"/>
    </row>
    <row r="66" ht="22.5" customHeight="1">
      <c r="A66" s="104" t="s">
        <v>159</v>
      </c>
      <c r="B66" s="105" t="b">
        <v>1</v>
      </c>
      <c r="C66" s="106" t="s">
        <v>160</v>
      </c>
      <c r="D66" s="106" t="s">
        <v>245</v>
      </c>
      <c r="E66" s="107" t="s">
        <v>193</v>
      </c>
      <c r="F66" s="108" t="s">
        <v>197</v>
      </c>
      <c r="G66" s="113">
        <v>4.0</v>
      </c>
      <c r="H66" s="110">
        <v>250.0</v>
      </c>
      <c r="I66" s="110">
        <f t="shared" si="16"/>
        <v>1115</v>
      </c>
      <c r="J66" s="90">
        <f t="shared" si="14"/>
        <v>1115</v>
      </c>
      <c r="K66" s="34"/>
      <c r="L66" s="34"/>
      <c r="M66" s="34"/>
      <c r="N66" s="34"/>
      <c r="O66" s="34"/>
      <c r="P66" s="34"/>
      <c r="Q66" s="34"/>
      <c r="R66" s="34"/>
      <c r="S66" s="34"/>
      <c r="T66" s="34"/>
      <c r="U66" s="34"/>
      <c r="V66" s="34"/>
      <c r="W66" s="34"/>
      <c r="X66" s="34"/>
    </row>
    <row r="67" ht="22.5" customHeight="1">
      <c r="A67" s="104" t="s">
        <v>159</v>
      </c>
      <c r="B67" s="105" t="b">
        <v>1</v>
      </c>
      <c r="C67" s="106" t="s">
        <v>160</v>
      </c>
      <c r="D67" s="106" t="s">
        <v>246</v>
      </c>
      <c r="E67" s="107" t="s">
        <v>193</v>
      </c>
      <c r="F67" s="108" t="s">
        <v>197</v>
      </c>
      <c r="G67" s="113">
        <v>6.0</v>
      </c>
      <c r="H67" s="110">
        <v>100.0</v>
      </c>
      <c r="I67" s="110">
        <f t="shared" si="16"/>
        <v>669</v>
      </c>
      <c r="J67" s="90">
        <f t="shared" si="14"/>
        <v>669</v>
      </c>
      <c r="K67" s="34"/>
      <c r="L67" s="34"/>
      <c r="M67" s="34"/>
      <c r="N67" s="34"/>
      <c r="O67" s="34"/>
      <c r="P67" s="34"/>
      <c r="Q67" s="34"/>
      <c r="R67" s="34"/>
      <c r="S67" s="34"/>
      <c r="T67" s="34"/>
      <c r="U67" s="34"/>
      <c r="V67" s="34"/>
      <c r="W67" s="34"/>
      <c r="X67" s="34"/>
    </row>
    <row r="68" ht="22.5" customHeight="1">
      <c r="A68" s="104" t="s">
        <v>159</v>
      </c>
      <c r="B68" s="105" t="b">
        <v>1</v>
      </c>
      <c r="C68" s="106" t="s">
        <v>160</v>
      </c>
      <c r="D68" s="106" t="s">
        <v>247</v>
      </c>
      <c r="E68" s="107" t="s">
        <v>193</v>
      </c>
      <c r="F68" s="108" t="s">
        <v>197</v>
      </c>
      <c r="G68" s="113">
        <v>20.0</v>
      </c>
      <c r="H68" s="110">
        <v>3.0</v>
      </c>
      <c r="I68" s="110">
        <f t="shared" si="16"/>
        <v>66.9</v>
      </c>
      <c r="J68" s="90">
        <f t="shared" si="14"/>
        <v>66.9</v>
      </c>
      <c r="K68" s="34"/>
      <c r="L68" s="34"/>
      <c r="M68" s="34"/>
      <c r="N68" s="34"/>
      <c r="O68" s="34"/>
      <c r="P68" s="34"/>
      <c r="Q68" s="34"/>
      <c r="R68" s="34"/>
      <c r="S68" s="34"/>
      <c r="T68" s="34"/>
      <c r="U68" s="34"/>
      <c r="V68" s="34"/>
      <c r="W68" s="34"/>
      <c r="X68" s="34"/>
    </row>
    <row r="69" ht="22.5" customHeight="1">
      <c r="A69" s="104" t="s">
        <v>159</v>
      </c>
      <c r="B69" s="105" t="b">
        <v>1</v>
      </c>
      <c r="C69" s="106" t="s">
        <v>160</v>
      </c>
      <c r="D69" s="106" t="s">
        <v>248</v>
      </c>
      <c r="E69" s="107" t="s">
        <v>193</v>
      </c>
      <c r="F69" s="108" t="s">
        <v>197</v>
      </c>
      <c r="G69" s="113">
        <v>10.0</v>
      </c>
      <c r="H69" s="110">
        <v>7.0</v>
      </c>
      <c r="I69" s="110">
        <f t="shared" si="16"/>
        <v>78.05</v>
      </c>
      <c r="J69" s="90">
        <f t="shared" si="14"/>
        <v>78.05</v>
      </c>
      <c r="K69" s="34"/>
      <c r="L69" s="34"/>
      <c r="M69" s="34"/>
      <c r="N69" s="34"/>
      <c r="O69" s="34"/>
      <c r="P69" s="34"/>
      <c r="Q69" s="34"/>
      <c r="R69" s="34"/>
      <c r="S69" s="34"/>
      <c r="T69" s="34"/>
      <c r="U69" s="34"/>
      <c r="V69" s="34"/>
      <c r="W69" s="34"/>
      <c r="X69" s="34"/>
    </row>
    <row r="70" ht="22.5" customHeight="1">
      <c r="A70" s="104" t="s">
        <v>159</v>
      </c>
      <c r="B70" s="105" t="b">
        <v>1</v>
      </c>
      <c r="C70" s="106" t="s">
        <v>160</v>
      </c>
      <c r="D70" s="106" t="s">
        <v>249</v>
      </c>
      <c r="E70" s="107" t="s">
        <v>193</v>
      </c>
      <c r="F70" s="108" t="s">
        <v>197</v>
      </c>
      <c r="G70" s="113">
        <v>13.0</v>
      </c>
      <c r="H70" s="110">
        <v>7.0</v>
      </c>
      <c r="I70" s="110">
        <f t="shared" si="16"/>
        <v>101.465</v>
      </c>
      <c r="J70" s="90">
        <f t="shared" si="14"/>
        <v>101.465</v>
      </c>
      <c r="K70" s="34"/>
      <c r="L70" s="34"/>
      <c r="M70" s="34"/>
      <c r="N70" s="34"/>
      <c r="O70" s="34"/>
      <c r="P70" s="34"/>
      <c r="Q70" s="34"/>
      <c r="R70" s="34"/>
      <c r="S70" s="34"/>
      <c r="T70" s="34"/>
      <c r="U70" s="34"/>
      <c r="V70" s="34"/>
      <c r="W70" s="34"/>
      <c r="X70" s="34"/>
    </row>
    <row r="71" ht="22.5" customHeight="1">
      <c r="A71" s="104" t="s">
        <v>159</v>
      </c>
      <c r="B71" s="105" t="b">
        <v>0</v>
      </c>
      <c r="C71" s="106" t="s">
        <v>160</v>
      </c>
      <c r="D71" s="106" t="s">
        <v>250</v>
      </c>
      <c r="E71" s="107" t="s">
        <v>193</v>
      </c>
      <c r="F71" s="108" t="s">
        <v>197</v>
      </c>
      <c r="G71" s="113">
        <v>0.0</v>
      </c>
      <c r="H71" s="110">
        <v>0.0</v>
      </c>
      <c r="I71" s="110">
        <f t="shared" si="16"/>
        <v>0</v>
      </c>
      <c r="J71" s="90">
        <f t="shared" si="14"/>
        <v>0</v>
      </c>
      <c r="K71" s="34"/>
      <c r="L71" s="34"/>
      <c r="M71" s="34"/>
      <c r="N71" s="34"/>
      <c r="O71" s="34"/>
      <c r="P71" s="34"/>
      <c r="Q71" s="34"/>
      <c r="R71" s="34"/>
      <c r="S71" s="34"/>
      <c r="T71" s="34"/>
      <c r="U71" s="34"/>
      <c r="V71" s="34"/>
      <c r="W71" s="34"/>
      <c r="X71" s="34"/>
    </row>
    <row r="72" ht="22.5" customHeight="1">
      <c r="A72" s="104" t="s">
        <v>159</v>
      </c>
      <c r="B72" s="105" t="b">
        <v>1</v>
      </c>
      <c r="C72" s="106" t="s">
        <v>160</v>
      </c>
      <c r="D72" s="106" t="s">
        <v>251</v>
      </c>
      <c r="E72" s="107" t="s">
        <v>193</v>
      </c>
      <c r="F72" s="108" t="s">
        <v>197</v>
      </c>
      <c r="G72" s="108">
        <v>1.0</v>
      </c>
      <c r="H72" s="110">
        <v>600.0</v>
      </c>
      <c r="I72" s="110">
        <f t="shared" si="16"/>
        <v>669</v>
      </c>
      <c r="J72" s="90">
        <f>I72*DATA!$C$21</f>
        <v>2007</v>
      </c>
      <c r="K72" s="34"/>
      <c r="L72" s="34"/>
      <c r="M72" s="34"/>
      <c r="N72" s="34"/>
      <c r="O72" s="34"/>
      <c r="P72" s="34"/>
      <c r="Q72" s="34"/>
      <c r="R72" s="34"/>
      <c r="S72" s="34"/>
      <c r="T72" s="34"/>
      <c r="U72" s="34"/>
      <c r="V72" s="34"/>
      <c r="W72" s="34"/>
      <c r="X72" s="34"/>
    </row>
    <row r="73" ht="22.5" customHeight="1">
      <c r="A73" s="104" t="s">
        <v>159</v>
      </c>
      <c r="B73" s="105" t="b">
        <v>1</v>
      </c>
      <c r="C73" s="106" t="s">
        <v>160</v>
      </c>
      <c r="D73" s="106" t="s">
        <v>252</v>
      </c>
      <c r="E73" s="107" t="s">
        <v>193</v>
      </c>
      <c r="F73" s="108" t="s">
        <v>197</v>
      </c>
      <c r="G73" s="108">
        <v>2.0</v>
      </c>
      <c r="H73" s="110">
        <v>80.0</v>
      </c>
      <c r="I73" s="110">
        <f t="shared" si="16"/>
        <v>178.4</v>
      </c>
      <c r="J73" s="90">
        <f>I73*DATA!$C$21</f>
        <v>535.2</v>
      </c>
      <c r="K73" s="34"/>
      <c r="L73" s="34"/>
      <c r="M73" s="34"/>
      <c r="N73" s="34"/>
      <c r="O73" s="34"/>
      <c r="P73" s="34"/>
      <c r="Q73" s="34"/>
      <c r="R73" s="34"/>
      <c r="S73" s="34"/>
      <c r="T73" s="34"/>
      <c r="U73" s="34"/>
      <c r="V73" s="34"/>
      <c r="W73" s="34"/>
      <c r="X73" s="34"/>
    </row>
    <row r="74" ht="22.5" customHeight="1">
      <c r="A74" s="104" t="s">
        <v>159</v>
      </c>
      <c r="B74" s="105" t="b">
        <v>1</v>
      </c>
      <c r="C74" s="106" t="s">
        <v>160</v>
      </c>
      <c r="D74" s="106" t="s">
        <v>253</v>
      </c>
      <c r="E74" s="107" t="s">
        <v>193</v>
      </c>
      <c r="F74" s="108" t="s">
        <v>197</v>
      </c>
      <c r="G74" s="108">
        <v>2.0</v>
      </c>
      <c r="H74" s="110">
        <v>252.0</v>
      </c>
      <c r="I74" s="110">
        <f t="shared" si="16"/>
        <v>561.96</v>
      </c>
      <c r="J74" s="90">
        <f>I74*DATA!$C$21</f>
        <v>1685.88</v>
      </c>
      <c r="K74" s="34"/>
      <c r="L74" s="34"/>
      <c r="M74" s="34"/>
      <c r="N74" s="34"/>
      <c r="O74" s="34"/>
      <c r="P74" s="34"/>
      <c r="Q74" s="34"/>
      <c r="R74" s="34"/>
      <c r="S74" s="34"/>
      <c r="T74" s="34"/>
      <c r="U74" s="34"/>
      <c r="V74" s="34"/>
      <c r="W74" s="34"/>
      <c r="X74" s="34"/>
    </row>
    <row r="75" ht="22.5" customHeight="1">
      <c r="A75" s="104" t="s">
        <v>159</v>
      </c>
      <c r="B75" s="105" t="b">
        <v>1</v>
      </c>
      <c r="C75" s="106" t="s">
        <v>160</v>
      </c>
      <c r="D75" s="106" t="s">
        <v>254</v>
      </c>
      <c r="E75" s="107" t="s">
        <v>193</v>
      </c>
      <c r="F75" s="108" t="s">
        <v>197</v>
      </c>
      <c r="G75" s="108">
        <v>3.0</v>
      </c>
      <c r="H75" s="110">
        <v>151.0</v>
      </c>
      <c r="I75" s="110">
        <f t="shared" si="16"/>
        <v>505.095</v>
      </c>
      <c r="J75" s="90">
        <f>I75*DATA!$C$21</f>
        <v>1515.285</v>
      </c>
      <c r="K75" s="34"/>
      <c r="L75" s="34"/>
      <c r="M75" s="34"/>
      <c r="N75" s="34"/>
      <c r="O75" s="34"/>
      <c r="P75" s="34"/>
      <c r="Q75" s="34"/>
      <c r="R75" s="34"/>
      <c r="S75" s="34"/>
      <c r="T75" s="34"/>
      <c r="U75" s="34"/>
      <c r="V75" s="34"/>
      <c r="W75" s="34"/>
      <c r="X75" s="34"/>
    </row>
    <row r="76" ht="22.5" customHeight="1">
      <c r="A76" s="104" t="s">
        <v>159</v>
      </c>
      <c r="B76" s="105" t="b">
        <v>1</v>
      </c>
      <c r="C76" s="106" t="s">
        <v>160</v>
      </c>
      <c r="D76" s="106" t="s">
        <v>255</v>
      </c>
      <c r="E76" s="107" t="s">
        <v>193</v>
      </c>
      <c r="F76" s="108" t="s">
        <v>197</v>
      </c>
      <c r="G76" s="109">
        <v>1.0</v>
      </c>
      <c r="H76" s="110">
        <v>100.0</v>
      </c>
      <c r="I76" s="110">
        <f t="shared" si="16"/>
        <v>111.5</v>
      </c>
      <c r="J76" s="90">
        <f>I76*DATA!$C$21</f>
        <v>334.5</v>
      </c>
      <c r="K76" s="34"/>
      <c r="L76" s="34"/>
      <c r="M76" s="34"/>
      <c r="N76" s="34"/>
      <c r="O76" s="34"/>
      <c r="P76" s="34"/>
      <c r="Q76" s="34"/>
      <c r="R76" s="34"/>
      <c r="S76" s="34"/>
      <c r="T76" s="34"/>
      <c r="U76" s="34"/>
      <c r="V76" s="34"/>
      <c r="W76" s="34"/>
      <c r="X76" s="34"/>
    </row>
    <row r="77" ht="22.5" customHeight="1">
      <c r="A77" s="104" t="s">
        <v>149</v>
      </c>
      <c r="B77" s="105" t="b">
        <v>1</v>
      </c>
      <c r="C77" s="106" t="s">
        <v>163</v>
      </c>
      <c r="D77" s="106" t="s">
        <v>192</v>
      </c>
      <c r="E77" s="107" t="s">
        <v>193</v>
      </c>
      <c r="F77" s="108" t="s">
        <v>194</v>
      </c>
      <c r="G77" s="109">
        <v>1.0</v>
      </c>
      <c r="H77" s="110">
        <v>500.0</v>
      </c>
      <c r="I77" s="110">
        <f t="shared" ref="I77:I81" si="17">H77*G77</f>
        <v>500</v>
      </c>
      <c r="J77" s="90">
        <f t="shared" ref="J77:J79" si="18">I77</f>
        <v>500</v>
      </c>
      <c r="K77" s="34"/>
      <c r="L77" s="34"/>
      <c r="M77" s="34"/>
      <c r="N77" s="34"/>
      <c r="O77" s="34"/>
      <c r="P77" s="34"/>
      <c r="Q77" s="34"/>
      <c r="R77" s="34"/>
      <c r="S77" s="34"/>
      <c r="T77" s="34"/>
      <c r="U77" s="34"/>
      <c r="V77" s="34"/>
      <c r="W77" s="34"/>
      <c r="X77" s="34"/>
    </row>
    <row r="78" ht="22.5" customHeight="1">
      <c r="A78" s="104" t="s">
        <v>149</v>
      </c>
      <c r="B78" s="105" t="b">
        <v>1</v>
      </c>
      <c r="C78" s="106" t="s">
        <v>163</v>
      </c>
      <c r="D78" s="106" t="s">
        <v>131</v>
      </c>
      <c r="E78" s="107" t="s">
        <v>130</v>
      </c>
      <c r="F78" s="108" t="s">
        <v>106</v>
      </c>
      <c r="G78" s="109">
        <v>1.0</v>
      </c>
      <c r="H78" s="110">
        <f>'PRODUCT LABOR &amp; SUBCONTRACT'!F25</f>
        <v>3000</v>
      </c>
      <c r="I78" s="110">
        <f t="shared" si="17"/>
        <v>3000</v>
      </c>
      <c r="J78" s="90">
        <f t="shared" si="18"/>
        <v>3000</v>
      </c>
      <c r="K78" s="34"/>
      <c r="L78" s="34"/>
      <c r="M78" s="34"/>
      <c r="N78" s="34"/>
      <c r="O78" s="34"/>
      <c r="P78" s="34"/>
      <c r="Q78" s="34"/>
      <c r="R78" s="34"/>
      <c r="S78" s="34"/>
      <c r="T78" s="34"/>
      <c r="U78" s="34"/>
      <c r="V78" s="34"/>
      <c r="W78" s="34"/>
      <c r="X78" s="34"/>
    </row>
    <row r="79" ht="22.5" customHeight="1">
      <c r="A79" s="112" t="s">
        <v>149</v>
      </c>
      <c r="B79" s="105" t="b">
        <v>1</v>
      </c>
      <c r="C79" s="106" t="s">
        <v>163</v>
      </c>
      <c r="D79" s="106" t="s">
        <v>164</v>
      </c>
      <c r="E79" s="107" t="s">
        <v>110</v>
      </c>
      <c r="F79" s="108" t="s">
        <v>106</v>
      </c>
      <c r="G79" s="109">
        <v>1.0</v>
      </c>
      <c r="H79" s="110">
        <f>'PRODUCT LABOR &amp; SUBCONTRACT'!F24</f>
        <v>15000</v>
      </c>
      <c r="I79" s="110">
        <f t="shared" si="17"/>
        <v>15000</v>
      </c>
      <c r="J79" s="90">
        <f t="shared" si="18"/>
        <v>15000</v>
      </c>
      <c r="K79" s="34"/>
      <c r="L79" s="34"/>
      <c r="M79" s="34"/>
      <c r="N79" s="34"/>
      <c r="O79" s="34"/>
      <c r="P79" s="34"/>
      <c r="Q79" s="34"/>
      <c r="R79" s="34"/>
      <c r="S79" s="34"/>
      <c r="T79" s="34"/>
      <c r="U79" s="34"/>
      <c r="V79" s="34"/>
      <c r="W79" s="34"/>
      <c r="X79" s="34"/>
    </row>
    <row r="80" ht="22.5" customHeight="1">
      <c r="A80" s="91" t="s">
        <v>165</v>
      </c>
      <c r="B80" s="84" t="b">
        <v>1</v>
      </c>
      <c r="C80" s="85" t="s">
        <v>166</v>
      </c>
      <c r="D80" s="85" t="s">
        <v>256</v>
      </c>
      <c r="E80" s="86" t="s">
        <v>193</v>
      </c>
      <c r="F80" s="87" t="s">
        <v>194</v>
      </c>
      <c r="G80" s="88">
        <v>1.0</v>
      </c>
      <c r="H80" s="89">
        <v>500.0</v>
      </c>
      <c r="I80" s="89">
        <f t="shared" si="17"/>
        <v>500</v>
      </c>
      <c r="J80" s="90">
        <f>I80*DATA!$C$21</f>
        <v>1500</v>
      </c>
      <c r="K80" s="34"/>
      <c r="L80" s="34"/>
      <c r="M80" s="34"/>
      <c r="N80" s="34"/>
      <c r="O80" s="34"/>
      <c r="P80" s="34"/>
      <c r="Q80" s="34"/>
      <c r="R80" s="34"/>
      <c r="S80" s="34"/>
      <c r="T80" s="34"/>
      <c r="U80" s="34"/>
      <c r="V80" s="34"/>
      <c r="W80" s="34"/>
      <c r="X80" s="34"/>
    </row>
    <row r="81" ht="22.5" customHeight="1">
      <c r="A81" s="91" t="s">
        <v>165</v>
      </c>
      <c r="B81" s="92" t="b">
        <v>1</v>
      </c>
      <c r="C81" s="93" t="s">
        <v>166</v>
      </c>
      <c r="D81" s="93" t="s">
        <v>257</v>
      </c>
      <c r="E81" s="94" t="s">
        <v>213</v>
      </c>
      <c r="F81" s="95" t="s">
        <v>106</v>
      </c>
      <c r="G81" s="96">
        <v>1.0</v>
      </c>
      <c r="H81" s="97">
        <f>'PRODUCT LABOR &amp; SUBCONTRACT'!F25</f>
        <v>3000</v>
      </c>
      <c r="I81" s="97">
        <f t="shared" si="17"/>
        <v>3000</v>
      </c>
      <c r="J81" s="90">
        <f t="shared" ref="J81:J84" si="19">I81</f>
        <v>3000</v>
      </c>
      <c r="K81" s="34"/>
      <c r="L81" s="34"/>
      <c r="M81" s="34"/>
      <c r="N81" s="34"/>
      <c r="O81" s="34"/>
      <c r="P81" s="34"/>
      <c r="Q81" s="34"/>
      <c r="R81" s="34"/>
      <c r="S81" s="34"/>
      <c r="T81" s="34"/>
      <c r="U81" s="34"/>
      <c r="V81" s="34"/>
      <c r="W81" s="34"/>
      <c r="X81" s="34"/>
    </row>
    <row r="82" ht="22.5" customHeight="1">
      <c r="A82" s="91" t="s">
        <v>165</v>
      </c>
      <c r="B82" s="92" t="b">
        <v>1</v>
      </c>
      <c r="C82" s="93" t="s">
        <v>166</v>
      </c>
      <c r="D82" s="93" t="s">
        <v>258</v>
      </c>
      <c r="E82" s="94" t="s">
        <v>193</v>
      </c>
      <c r="F82" s="95" t="s">
        <v>197</v>
      </c>
      <c r="G82" s="113">
        <v>2.0</v>
      </c>
      <c r="H82" s="97">
        <v>400.0</v>
      </c>
      <c r="I82" s="97">
        <f t="shared" ref="I82:I88" si="20">(H82*G82)*1.115</f>
        <v>892</v>
      </c>
      <c r="J82" s="90">
        <f t="shared" si="19"/>
        <v>892</v>
      </c>
      <c r="K82" s="34"/>
      <c r="L82" s="34"/>
      <c r="M82" s="34"/>
      <c r="N82" s="34"/>
      <c r="O82" s="34"/>
      <c r="P82" s="34"/>
      <c r="Q82" s="34"/>
      <c r="R82" s="34"/>
      <c r="S82" s="34"/>
      <c r="T82" s="34"/>
      <c r="U82" s="34"/>
      <c r="V82" s="34"/>
      <c r="W82" s="34"/>
      <c r="X82" s="34"/>
    </row>
    <row r="83" ht="22.5" customHeight="1">
      <c r="A83" s="91" t="s">
        <v>165</v>
      </c>
      <c r="B83" s="92" t="b">
        <v>1</v>
      </c>
      <c r="C83" s="93" t="s">
        <v>166</v>
      </c>
      <c r="D83" s="93" t="s">
        <v>259</v>
      </c>
      <c r="E83" s="94" t="s">
        <v>193</v>
      </c>
      <c r="F83" s="95" t="s">
        <v>197</v>
      </c>
      <c r="G83" s="113">
        <v>2.0</v>
      </c>
      <c r="H83" s="97">
        <v>300.0</v>
      </c>
      <c r="I83" s="97">
        <f t="shared" si="20"/>
        <v>669</v>
      </c>
      <c r="J83" s="90">
        <f t="shared" si="19"/>
        <v>669</v>
      </c>
      <c r="K83" s="34"/>
      <c r="L83" s="34"/>
      <c r="M83" s="34"/>
      <c r="N83" s="34"/>
      <c r="O83" s="34"/>
      <c r="P83" s="34"/>
      <c r="Q83" s="34"/>
      <c r="R83" s="34"/>
      <c r="S83" s="34"/>
      <c r="T83" s="34"/>
      <c r="U83" s="34"/>
      <c r="V83" s="34"/>
      <c r="W83" s="34"/>
      <c r="X83" s="34"/>
    </row>
    <row r="84" ht="22.5" customHeight="1">
      <c r="A84" s="91" t="s">
        <v>165</v>
      </c>
      <c r="B84" s="92" t="b">
        <v>1</v>
      </c>
      <c r="C84" s="93" t="s">
        <v>166</v>
      </c>
      <c r="D84" s="93" t="s">
        <v>260</v>
      </c>
      <c r="E84" s="94" t="s">
        <v>193</v>
      </c>
      <c r="F84" s="95" t="s">
        <v>197</v>
      </c>
      <c r="G84" s="113">
        <v>2.0</v>
      </c>
      <c r="H84" s="97">
        <v>150.0</v>
      </c>
      <c r="I84" s="97">
        <f t="shared" si="20"/>
        <v>334.5</v>
      </c>
      <c r="J84" s="90">
        <f t="shared" si="19"/>
        <v>334.5</v>
      </c>
      <c r="K84" s="34"/>
      <c r="L84" s="34"/>
      <c r="M84" s="34"/>
      <c r="N84" s="34"/>
      <c r="O84" s="34"/>
      <c r="P84" s="34"/>
      <c r="Q84" s="34"/>
      <c r="R84" s="34"/>
      <c r="S84" s="34"/>
      <c r="T84" s="34"/>
      <c r="U84" s="34"/>
      <c r="V84" s="34"/>
      <c r="W84" s="34"/>
      <c r="X84" s="34"/>
    </row>
    <row r="85" ht="22.5" customHeight="1">
      <c r="A85" s="91" t="s">
        <v>165</v>
      </c>
      <c r="B85" s="92" t="b">
        <v>1</v>
      </c>
      <c r="C85" s="93" t="s">
        <v>166</v>
      </c>
      <c r="D85" s="93" t="s">
        <v>261</v>
      </c>
      <c r="E85" s="94" t="s">
        <v>193</v>
      </c>
      <c r="F85" s="95" t="s">
        <v>197</v>
      </c>
      <c r="G85" s="96">
        <v>1.0</v>
      </c>
      <c r="H85" s="97">
        <v>220.0</v>
      </c>
      <c r="I85" s="97">
        <f t="shared" si="20"/>
        <v>245.3</v>
      </c>
      <c r="J85" s="90">
        <f>I85*DATA!$C$21</f>
        <v>735.9</v>
      </c>
      <c r="K85" s="34"/>
      <c r="L85" s="34"/>
      <c r="M85" s="34"/>
      <c r="N85" s="34"/>
      <c r="O85" s="34"/>
      <c r="P85" s="34"/>
      <c r="Q85" s="34"/>
      <c r="R85" s="34"/>
      <c r="S85" s="34"/>
      <c r="T85" s="34"/>
      <c r="U85" s="34"/>
      <c r="V85" s="34"/>
      <c r="W85" s="34"/>
      <c r="X85" s="34"/>
    </row>
    <row r="86" ht="22.5" customHeight="1">
      <c r="A86" s="91" t="s">
        <v>165</v>
      </c>
      <c r="B86" s="92" t="b">
        <v>1</v>
      </c>
      <c r="C86" s="93" t="s">
        <v>166</v>
      </c>
      <c r="D86" s="93" t="s">
        <v>262</v>
      </c>
      <c r="E86" s="94" t="s">
        <v>193</v>
      </c>
      <c r="F86" s="95" t="s">
        <v>197</v>
      </c>
      <c r="G86" s="113">
        <v>1.0</v>
      </c>
      <c r="H86" s="97">
        <v>500.0</v>
      </c>
      <c r="I86" s="97">
        <f t="shared" si="20"/>
        <v>557.5</v>
      </c>
      <c r="J86" s="90">
        <f>I86</f>
        <v>557.5</v>
      </c>
      <c r="K86" s="34"/>
      <c r="L86" s="34"/>
      <c r="M86" s="34"/>
      <c r="N86" s="34"/>
      <c r="O86" s="34"/>
      <c r="P86" s="34"/>
      <c r="Q86" s="34"/>
      <c r="R86" s="34"/>
      <c r="S86" s="34"/>
      <c r="T86" s="34"/>
      <c r="U86" s="34"/>
      <c r="V86" s="34"/>
      <c r="W86" s="34"/>
      <c r="X86" s="34"/>
    </row>
    <row r="87" ht="22.5" customHeight="1">
      <c r="A87" s="91" t="s">
        <v>165</v>
      </c>
      <c r="B87" s="92" t="b">
        <v>1</v>
      </c>
      <c r="C87" s="93" t="s">
        <v>166</v>
      </c>
      <c r="D87" s="93" t="s">
        <v>199</v>
      </c>
      <c r="E87" s="94" t="s">
        <v>193</v>
      </c>
      <c r="F87" s="95" t="s">
        <v>197</v>
      </c>
      <c r="G87" s="96">
        <v>1.0</v>
      </c>
      <c r="H87" s="97">
        <v>600.0</v>
      </c>
      <c r="I87" s="97">
        <f t="shared" si="20"/>
        <v>669</v>
      </c>
      <c r="J87" s="90">
        <f>I87*DATA!$C$21</f>
        <v>2007</v>
      </c>
      <c r="K87" s="34"/>
      <c r="L87" s="34"/>
      <c r="M87" s="34"/>
      <c r="N87" s="34"/>
      <c r="O87" s="34"/>
      <c r="P87" s="34"/>
      <c r="Q87" s="34"/>
      <c r="R87" s="34"/>
      <c r="S87" s="34"/>
      <c r="T87" s="34"/>
      <c r="U87" s="34"/>
      <c r="V87" s="34"/>
      <c r="W87" s="34"/>
      <c r="X87" s="34"/>
    </row>
    <row r="88" ht="22.5" customHeight="1">
      <c r="A88" s="91" t="s">
        <v>165</v>
      </c>
      <c r="B88" s="92" t="b">
        <v>1</v>
      </c>
      <c r="C88" s="93" t="s">
        <v>166</v>
      </c>
      <c r="D88" s="93" t="s">
        <v>263</v>
      </c>
      <c r="E88" s="94" t="s">
        <v>193</v>
      </c>
      <c r="F88" s="95" t="s">
        <v>197</v>
      </c>
      <c r="G88" s="113">
        <v>6.0</v>
      </c>
      <c r="H88" s="97">
        <v>500.0</v>
      </c>
      <c r="I88" s="97">
        <f t="shared" si="20"/>
        <v>3345</v>
      </c>
      <c r="J88" s="90">
        <f t="shared" ref="J88:J90" si="21">I88</f>
        <v>3345</v>
      </c>
      <c r="K88" s="34"/>
      <c r="L88" s="34"/>
      <c r="M88" s="34"/>
      <c r="N88" s="34"/>
      <c r="O88" s="34"/>
      <c r="P88" s="34"/>
      <c r="Q88" s="34"/>
      <c r="R88" s="34"/>
      <c r="S88" s="34"/>
      <c r="T88" s="34"/>
      <c r="U88" s="34"/>
      <c r="V88" s="34"/>
      <c r="W88" s="34"/>
      <c r="X88" s="34"/>
    </row>
    <row r="89" ht="22.5" customHeight="1">
      <c r="A89" s="91" t="s">
        <v>165</v>
      </c>
      <c r="B89" s="92" t="b">
        <v>1</v>
      </c>
      <c r="C89" s="93" t="s">
        <v>166</v>
      </c>
      <c r="D89" s="93" t="s">
        <v>264</v>
      </c>
      <c r="E89" s="94" t="s">
        <v>193</v>
      </c>
      <c r="F89" s="95" t="s">
        <v>106</v>
      </c>
      <c r="G89" s="96">
        <v>1.0</v>
      </c>
      <c r="H89" s="97">
        <f>'PRODUCT LABOR &amp; SUBCONTRACT'!F26</f>
        <v>3000</v>
      </c>
      <c r="I89" s="97">
        <f t="shared" ref="I89:I90" si="22">H89*G89</f>
        <v>3000</v>
      </c>
      <c r="J89" s="90">
        <f t="shared" si="21"/>
        <v>3000</v>
      </c>
      <c r="K89" s="34"/>
      <c r="L89" s="34"/>
      <c r="M89" s="34"/>
      <c r="N89" s="34"/>
      <c r="O89" s="34"/>
      <c r="P89" s="34"/>
      <c r="Q89" s="34"/>
      <c r="R89" s="34"/>
      <c r="S89" s="34"/>
      <c r="T89" s="34"/>
      <c r="U89" s="34"/>
      <c r="V89" s="34"/>
      <c r="W89" s="34"/>
      <c r="X89" s="34"/>
    </row>
    <row r="90" ht="22.5" customHeight="1">
      <c r="A90" s="98" t="s">
        <v>165</v>
      </c>
      <c r="B90" s="99" t="b">
        <v>1</v>
      </c>
      <c r="C90" s="100" t="s">
        <v>168</v>
      </c>
      <c r="D90" s="100" t="s">
        <v>169</v>
      </c>
      <c r="E90" s="101" t="s">
        <v>265</v>
      </c>
      <c r="F90" s="102" t="s">
        <v>106</v>
      </c>
      <c r="G90" s="61">
        <v>1.0</v>
      </c>
      <c r="H90" s="103">
        <f>'PRODUCT LABOR &amp; SUBCONTRACT'!F27</f>
        <v>2000</v>
      </c>
      <c r="I90" s="103">
        <f t="shared" si="22"/>
        <v>2000</v>
      </c>
      <c r="J90" s="90">
        <f t="shared" si="21"/>
        <v>2000</v>
      </c>
      <c r="K90" s="34"/>
      <c r="L90" s="34"/>
      <c r="M90" s="34"/>
      <c r="N90" s="34"/>
      <c r="O90" s="34"/>
      <c r="P90" s="34"/>
      <c r="Q90" s="34"/>
      <c r="R90" s="34"/>
      <c r="S90" s="34"/>
      <c r="T90" s="34"/>
      <c r="U90" s="34"/>
      <c r="V90" s="34"/>
      <c r="W90" s="34"/>
      <c r="X90" s="34"/>
    </row>
    <row r="91" ht="15.75" customHeight="1">
      <c r="E91" s="114"/>
      <c r="F91" s="114"/>
    </row>
    <row r="92" ht="15.75" customHeight="1">
      <c r="E92" s="114"/>
      <c r="F92" s="114"/>
    </row>
    <row r="93" ht="15.75" customHeight="1">
      <c r="E93" s="114"/>
      <c r="F93" s="114"/>
    </row>
    <row r="94" ht="15.75" customHeight="1">
      <c r="E94" s="114"/>
      <c r="F94" s="114"/>
    </row>
    <row r="95" ht="15.75" customHeight="1">
      <c r="E95" s="114"/>
      <c r="F95" s="114"/>
    </row>
    <row r="96" ht="15.75" customHeight="1">
      <c r="E96" s="114"/>
      <c r="F96" s="114"/>
    </row>
    <row r="97" ht="15.75" customHeight="1">
      <c r="E97" s="114"/>
      <c r="F97" s="114"/>
    </row>
    <row r="98" ht="15.75" customHeight="1">
      <c r="E98" s="114"/>
      <c r="F98" s="114"/>
    </row>
    <row r="99" ht="15.75" customHeight="1">
      <c r="E99" s="114"/>
      <c r="F99" s="114"/>
    </row>
    <row r="100" ht="15.75" customHeight="1">
      <c r="E100" s="114"/>
      <c r="F100" s="114"/>
    </row>
    <row r="101" ht="15.75" customHeight="1">
      <c r="E101" s="114"/>
      <c r="F101" s="114"/>
    </row>
    <row r="102" ht="15.75" customHeight="1">
      <c r="E102" s="114"/>
      <c r="F102" s="114"/>
    </row>
    <row r="103" ht="15.75" customHeight="1">
      <c r="E103" s="114"/>
      <c r="F103" s="114"/>
    </row>
    <row r="104" ht="15.75" customHeight="1">
      <c r="E104" s="114"/>
      <c r="F104" s="114"/>
    </row>
    <row r="105" ht="15.75" customHeight="1">
      <c r="E105" s="114"/>
      <c r="F105" s="114"/>
    </row>
    <row r="106" ht="15.75" customHeight="1">
      <c r="E106" s="114"/>
      <c r="F106" s="114"/>
    </row>
    <row r="107" ht="15.75" customHeight="1">
      <c r="E107" s="114"/>
      <c r="F107" s="114"/>
    </row>
    <row r="108" ht="15.75" customHeight="1">
      <c r="E108" s="114"/>
      <c r="F108" s="114"/>
    </row>
    <row r="109" ht="15.75" customHeight="1">
      <c r="E109" s="114"/>
      <c r="F109" s="114"/>
    </row>
    <row r="110" ht="15.75" customHeight="1">
      <c r="E110" s="114"/>
      <c r="F110" s="114"/>
    </row>
    <row r="111" ht="15.75" customHeight="1">
      <c r="E111" s="114"/>
      <c r="F111" s="114"/>
    </row>
    <row r="112" ht="15.75" customHeight="1">
      <c r="E112" s="114"/>
      <c r="F112" s="114"/>
    </row>
    <row r="113" ht="15.75" customHeight="1">
      <c r="E113" s="114"/>
      <c r="F113" s="114"/>
    </row>
    <row r="114" ht="15.75" customHeight="1">
      <c r="E114" s="114"/>
      <c r="F114" s="114"/>
    </row>
    <row r="115" ht="15.75" customHeight="1">
      <c r="E115" s="114"/>
      <c r="F115" s="114"/>
    </row>
    <row r="116" ht="15.75" customHeight="1">
      <c r="E116" s="114"/>
      <c r="F116" s="114"/>
    </row>
    <row r="117" ht="15.75" customHeight="1">
      <c r="E117" s="114"/>
      <c r="F117" s="114"/>
    </row>
    <row r="118" ht="15.75" customHeight="1">
      <c r="E118" s="114"/>
      <c r="F118" s="114"/>
    </row>
    <row r="119" ht="15.75" customHeight="1">
      <c r="E119" s="114"/>
      <c r="F119" s="114"/>
    </row>
    <row r="120" ht="15.75" customHeight="1">
      <c r="E120" s="114"/>
      <c r="F120" s="114"/>
    </row>
    <row r="121" ht="15.75" customHeight="1">
      <c r="E121" s="114"/>
      <c r="F121" s="114"/>
    </row>
    <row r="122" ht="15.75" customHeight="1">
      <c r="E122" s="114"/>
      <c r="F122" s="114"/>
    </row>
    <row r="123" ht="15.75" customHeight="1">
      <c r="E123" s="114"/>
      <c r="F123" s="114"/>
    </row>
    <row r="124" ht="15.75" customHeight="1">
      <c r="E124" s="114"/>
      <c r="F124" s="114"/>
    </row>
    <row r="125" ht="15.75" customHeight="1">
      <c r="E125" s="114"/>
      <c r="F125" s="114"/>
    </row>
    <row r="126" ht="15.75" customHeight="1">
      <c r="E126" s="114"/>
      <c r="F126" s="114"/>
    </row>
    <row r="127" ht="15.75" customHeight="1">
      <c r="E127" s="114"/>
      <c r="F127" s="114"/>
    </row>
    <row r="128" ht="15.75" customHeight="1">
      <c r="E128" s="114"/>
      <c r="F128" s="114"/>
    </row>
    <row r="129" ht="15.75" customHeight="1">
      <c r="E129" s="114"/>
      <c r="F129" s="114"/>
    </row>
    <row r="130" ht="15.75" customHeight="1">
      <c r="E130" s="114"/>
      <c r="F130" s="114"/>
    </row>
    <row r="131" ht="15.75" customHeight="1">
      <c r="E131" s="114"/>
      <c r="F131" s="114"/>
    </row>
    <row r="132" ht="15.75" customHeight="1">
      <c r="E132" s="114"/>
      <c r="F132" s="114"/>
    </row>
    <row r="133" ht="15.75" customHeight="1">
      <c r="E133" s="114"/>
      <c r="F133" s="114"/>
    </row>
    <row r="134" ht="15.75" customHeight="1">
      <c r="E134" s="114"/>
      <c r="F134" s="114"/>
    </row>
    <row r="135" ht="15.75" customHeight="1">
      <c r="E135" s="114"/>
      <c r="F135" s="114"/>
    </row>
    <row r="136" ht="15.75" customHeight="1">
      <c r="E136" s="114"/>
      <c r="F136" s="114"/>
    </row>
    <row r="137" ht="15.75" customHeight="1">
      <c r="E137" s="114"/>
      <c r="F137" s="114"/>
    </row>
    <row r="138" ht="15.75" customHeight="1">
      <c r="E138" s="114"/>
      <c r="F138" s="114"/>
    </row>
    <row r="139" ht="15.75" customHeight="1">
      <c r="E139" s="114"/>
      <c r="F139" s="114"/>
    </row>
    <row r="140" ht="15.75" customHeight="1">
      <c r="E140" s="114"/>
      <c r="F140" s="114"/>
    </row>
    <row r="141" ht="15.75" customHeight="1">
      <c r="E141" s="114"/>
      <c r="F141" s="114"/>
    </row>
    <row r="142" ht="15.75" customHeight="1">
      <c r="E142" s="114"/>
      <c r="F142" s="114"/>
    </row>
    <row r="143" ht="15.75" customHeight="1">
      <c r="E143" s="114"/>
      <c r="F143" s="114"/>
    </row>
    <row r="144" ht="15.75" customHeight="1">
      <c r="E144" s="114"/>
      <c r="F144" s="114"/>
    </row>
    <row r="145" ht="15.75" customHeight="1">
      <c r="E145" s="114"/>
      <c r="F145" s="114"/>
    </row>
    <row r="146" ht="15.75" customHeight="1">
      <c r="E146" s="114"/>
      <c r="F146" s="114"/>
    </row>
    <row r="147" ht="15.75" customHeight="1">
      <c r="E147" s="114"/>
      <c r="F147" s="114"/>
    </row>
    <row r="148" ht="15.75" customHeight="1">
      <c r="E148" s="114"/>
      <c r="F148" s="114"/>
    </row>
    <row r="149" ht="15.75" customHeight="1">
      <c r="E149" s="114"/>
      <c r="F149" s="114"/>
    </row>
    <row r="150" ht="15.75" customHeight="1">
      <c r="E150" s="114"/>
      <c r="F150" s="114"/>
    </row>
    <row r="151" ht="15.75" customHeight="1">
      <c r="E151" s="114"/>
      <c r="F151" s="114"/>
    </row>
    <row r="152" ht="15.75" customHeight="1">
      <c r="E152" s="114"/>
      <c r="F152" s="114"/>
    </row>
    <row r="153" ht="15.75" customHeight="1">
      <c r="E153" s="114"/>
      <c r="F153" s="114"/>
    </row>
    <row r="154" ht="15.75" customHeight="1">
      <c r="E154" s="114"/>
      <c r="F154" s="114"/>
    </row>
    <row r="155" ht="15.75" customHeight="1">
      <c r="E155" s="114"/>
      <c r="F155" s="114"/>
    </row>
    <row r="156" ht="15.75" customHeight="1">
      <c r="E156" s="114"/>
      <c r="F156" s="114"/>
    </row>
    <row r="157" ht="15.75" customHeight="1">
      <c r="E157" s="114"/>
      <c r="F157" s="114"/>
    </row>
    <row r="158" ht="15.75" customHeight="1">
      <c r="E158" s="114"/>
      <c r="F158" s="114"/>
    </row>
    <row r="159" ht="15.75" customHeight="1">
      <c r="E159" s="114"/>
      <c r="F159" s="114"/>
    </row>
    <row r="160" ht="15.75" customHeight="1">
      <c r="E160" s="114"/>
      <c r="F160" s="114"/>
    </row>
    <row r="161" ht="15.75" customHeight="1">
      <c r="E161" s="114"/>
      <c r="F161" s="114"/>
    </row>
    <row r="162" ht="15.75" customHeight="1">
      <c r="E162" s="114"/>
      <c r="F162" s="114"/>
    </row>
    <row r="163" ht="15.75" customHeight="1">
      <c r="E163" s="114"/>
      <c r="F163" s="114"/>
    </row>
    <row r="164" ht="15.75" customHeight="1">
      <c r="E164" s="114"/>
      <c r="F164" s="114"/>
    </row>
    <row r="165" ht="15.75" customHeight="1">
      <c r="E165" s="114"/>
      <c r="F165" s="114"/>
    </row>
    <row r="166" ht="15.75" customHeight="1">
      <c r="E166" s="114"/>
      <c r="F166" s="114"/>
    </row>
    <row r="167" ht="15.75" customHeight="1">
      <c r="E167" s="114"/>
      <c r="F167" s="114"/>
    </row>
    <row r="168" ht="15.75" customHeight="1">
      <c r="E168" s="114"/>
      <c r="F168" s="114"/>
    </row>
    <row r="169" ht="15.75" customHeight="1">
      <c r="E169" s="114"/>
      <c r="F169" s="114"/>
    </row>
    <row r="170" ht="15.75" customHeight="1">
      <c r="E170" s="114"/>
      <c r="F170" s="114"/>
    </row>
    <row r="171" ht="15.75" customHeight="1">
      <c r="E171" s="114"/>
      <c r="F171" s="114"/>
    </row>
    <row r="172" ht="15.75" customHeight="1">
      <c r="E172" s="114"/>
      <c r="F172" s="114"/>
    </row>
    <row r="173" ht="15.75" customHeight="1">
      <c r="E173" s="114"/>
      <c r="F173" s="114"/>
    </row>
    <row r="174" ht="15.75" customHeight="1">
      <c r="E174" s="114"/>
      <c r="F174" s="114"/>
    </row>
    <row r="175" ht="15.75" customHeight="1">
      <c r="E175" s="114"/>
      <c r="F175" s="114"/>
    </row>
    <row r="176" ht="15.75" customHeight="1">
      <c r="E176" s="114"/>
      <c r="F176" s="114"/>
    </row>
    <row r="177" ht="15.75" customHeight="1">
      <c r="E177" s="114"/>
      <c r="F177" s="114"/>
    </row>
    <row r="178" ht="15.75" customHeight="1">
      <c r="E178" s="114"/>
      <c r="F178" s="114"/>
    </row>
    <row r="179" ht="15.75" customHeight="1">
      <c r="E179" s="114"/>
      <c r="F179" s="114"/>
    </row>
    <row r="180" ht="15.75" customHeight="1">
      <c r="E180" s="114"/>
      <c r="F180" s="114"/>
    </row>
    <row r="181" ht="15.75" customHeight="1">
      <c r="E181" s="114"/>
      <c r="F181" s="114"/>
    </row>
    <row r="182" ht="15.75" customHeight="1">
      <c r="E182" s="114"/>
      <c r="F182" s="114"/>
    </row>
    <row r="183" ht="15.75" customHeight="1">
      <c r="E183" s="114"/>
      <c r="F183" s="114"/>
    </row>
    <row r="184" ht="15.75" customHeight="1">
      <c r="E184" s="114"/>
      <c r="F184" s="114"/>
    </row>
    <row r="185" ht="15.75" customHeight="1">
      <c r="E185" s="114"/>
      <c r="F185" s="114"/>
    </row>
    <row r="186" ht="15.75" customHeight="1">
      <c r="E186" s="114"/>
      <c r="F186" s="114"/>
    </row>
    <row r="187" ht="15.75" customHeight="1">
      <c r="E187" s="114"/>
      <c r="F187" s="114"/>
    </row>
    <row r="188" ht="15.75" customHeight="1">
      <c r="E188" s="114"/>
      <c r="F188" s="114"/>
    </row>
    <row r="189" ht="15.75" customHeight="1">
      <c r="E189" s="114"/>
      <c r="F189" s="114"/>
    </row>
    <row r="190" ht="15.75" customHeight="1">
      <c r="E190" s="114"/>
      <c r="F190" s="114"/>
    </row>
    <row r="191" ht="15.75" customHeight="1">
      <c r="E191" s="114"/>
      <c r="F191" s="114"/>
    </row>
    <row r="192" ht="15.75" customHeight="1">
      <c r="E192" s="114"/>
      <c r="F192" s="114"/>
    </row>
    <row r="193" ht="15.75" customHeight="1">
      <c r="E193" s="114"/>
      <c r="F193" s="114"/>
    </row>
    <row r="194" ht="15.75" customHeight="1">
      <c r="E194" s="114"/>
      <c r="F194" s="114"/>
    </row>
    <row r="195" ht="15.75" customHeight="1">
      <c r="E195" s="114"/>
      <c r="F195" s="114"/>
    </row>
    <row r="196" ht="15.75" customHeight="1">
      <c r="E196" s="114"/>
      <c r="F196" s="114"/>
    </row>
    <row r="197" ht="15.75" customHeight="1">
      <c r="E197" s="114"/>
      <c r="F197" s="114"/>
    </row>
    <row r="198" ht="15.75" customHeight="1">
      <c r="E198" s="114"/>
      <c r="F198" s="114"/>
    </row>
    <row r="199" ht="15.75" customHeight="1">
      <c r="E199" s="114"/>
      <c r="F199" s="114"/>
    </row>
    <row r="200" ht="15.75" customHeight="1">
      <c r="E200" s="114"/>
      <c r="F200" s="114"/>
    </row>
    <row r="201" ht="15.75" customHeight="1">
      <c r="E201" s="114"/>
      <c r="F201" s="114"/>
    </row>
    <row r="202" ht="15.75" customHeight="1">
      <c r="E202" s="114"/>
      <c r="F202" s="114"/>
    </row>
    <row r="203" ht="15.75" customHeight="1">
      <c r="E203" s="114"/>
      <c r="F203" s="114"/>
    </row>
    <row r="204" ht="15.75" customHeight="1">
      <c r="E204" s="114"/>
      <c r="F204" s="114"/>
    </row>
    <row r="205" ht="15.75" customHeight="1">
      <c r="E205" s="114"/>
      <c r="F205" s="114"/>
    </row>
    <row r="206" ht="15.75" customHeight="1">
      <c r="E206" s="114"/>
      <c r="F206" s="114"/>
    </row>
    <row r="207" ht="15.75" customHeight="1">
      <c r="E207" s="114"/>
      <c r="F207" s="114"/>
    </row>
    <row r="208" ht="15.75" customHeight="1">
      <c r="E208" s="114"/>
      <c r="F208" s="114"/>
    </row>
    <row r="209" ht="15.75" customHeight="1">
      <c r="E209" s="114"/>
      <c r="F209" s="114"/>
    </row>
    <row r="210" ht="15.75" customHeight="1">
      <c r="E210" s="114"/>
      <c r="F210" s="114"/>
    </row>
    <row r="211" ht="15.75" customHeight="1">
      <c r="E211" s="114"/>
      <c r="F211" s="114"/>
    </row>
    <row r="212" ht="15.75" customHeight="1">
      <c r="E212" s="114"/>
      <c r="F212" s="114"/>
    </row>
    <row r="213" ht="15.75" customHeight="1">
      <c r="E213" s="114"/>
      <c r="F213" s="114"/>
    </row>
    <row r="214" ht="15.75" customHeight="1">
      <c r="E214" s="114"/>
      <c r="F214" s="114"/>
    </row>
    <row r="215" ht="15.75" customHeight="1">
      <c r="E215" s="114"/>
      <c r="F215" s="114"/>
    </row>
    <row r="216" ht="15.75" customHeight="1">
      <c r="E216" s="114"/>
      <c r="F216" s="114"/>
    </row>
    <row r="217" ht="15.75" customHeight="1">
      <c r="E217" s="114"/>
      <c r="F217" s="114"/>
    </row>
    <row r="218" ht="15.75" customHeight="1">
      <c r="E218" s="114"/>
      <c r="F218" s="114"/>
    </row>
    <row r="219" ht="15.75" customHeight="1">
      <c r="E219" s="114"/>
      <c r="F219" s="114"/>
    </row>
    <row r="220" ht="15.75" customHeight="1">
      <c r="E220" s="114"/>
      <c r="F220" s="114"/>
    </row>
    <row r="221" ht="15.75" customHeight="1">
      <c r="E221" s="114"/>
      <c r="F221" s="114"/>
    </row>
    <row r="222" ht="15.75" customHeight="1">
      <c r="E222" s="114"/>
      <c r="F222" s="114"/>
    </row>
    <row r="223" ht="15.75" customHeight="1">
      <c r="E223" s="114"/>
      <c r="F223" s="114"/>
    </row>
    <row r="224" ht="15.75" customHeight="1">
      <c r="E224" s="114"/>
      <c r="F224" s="114"/>
    </row>
    <row r="225" ht="15.75" customHeight="1">
      <c r="E225" s="114"/>
      <c r="F225" s="114"/>
    </row>
    <row r="226" ht="15.75" customHeight="1">
      <c r="E226" s="114"/>
      <c r="F226" s="114"/>
    </row>
    <row r="227" ht="15.75" customHeight="1">
      <c r="E227" s="114"/>
      <c r="F227" s="114"/>
    </row>
    <row r="228" ht="15.75" customHeight="1">
      <c r="E228" s="114"/>
      <c r="F228" s="114"/>
    </row>
    <row r="229" ht="15.75" customHeight="1">
      <c r="E229" s="114"/>
      <c r="F229" s="114"/>
    </row>
    <row r="230" ht="15.75" customHeight="1">
      <c r="E230" s="114"/>
      <c r="F230" s="114"/>
    </row>
    <row r="231" ht="15.75" customHeight="1">
      <c r="E231" s="114"/>
      <c r="F231" s="114"/>
    </row>
    <row r="232" ht="15.75" customHeight="1">
      <c r="E232" s="114"/>
      <c r="F232" s="114"/>
    </row>
    <row r="233" ht="15.75" customHeight="1">
      <c r="E233" s="114"/>
      <c r="F233" s="114"/>
    </row>
    <row r="234" ht="15.75" customHeight="1">
      <c r="E234" s="114"/>
      <c r="F234" s="114"/>
    </row>
    <row r="235" ht="15.75" customHeight="1">
      <c r="E235" s="114"/>
      <c r="F235" s="114"/>
    </row>
    <row r="236" ht="15.75" customHeight="1">
      <c r="E236" s="114"/>
      <c r="F236" s="114"/>
    </row>
    <row r="237" ht="15.75" customHeight="1">
      <c r="E237" s="114"/>
      <c r="F237" s="114"/>
    </row>
    <row r="238" ht="15.75" customHeight="1">
      <c r="E238" s="114"/>
      <c r="F238" s="114"/>
    </row>
    <row r="239" ht="15.75" customHeight="1">
      <c r="E239" s="114"/>
      <c r="F239" s="114"/>
    </row>
    <row r="240" ht="15.75" customHeight="1">
      <c r="E240" s="114"/>
      <c r="F240" s="114"/>
    </row>
    <row r="241" ht="15.75" customHeight="1">
      <c r="E241" s="114"/>
      <c r="F241" s="114"/>
    </row>
    <row r="242" ht="15.75" customHeight="1">
      <c r="E242" s="114"/>
      <c r="F242" s="114"/>
    </row>
    <row r="243" ht="15.75" customHeight="1">
      <c r="E243" s="114"/>
      <c r="F243" s="114"/>
    </row>
    <row r="244" ht="15.75" customHeight="1">
      <c r="E244" s="114"/>
      <c r="F244" s="114"/>
    </row>
    <row r="245" ht="15.75" customHeight="1">
      <c r="E245" s="114"/>
      <c r="F245" s="114"/>
    </row>
    <row r="246" ht="15.75" customHeight="1">
      <c r="E246" s="114"/>
      <c r="F246" s="114"/>
    </row>
    <row r="247" ht="15.75" customHeight="1">
      <c r="E247" s="114"/>
      <c r="F247" s="114"/>
    </row>
    <row r="248" ht="15.75" customHeight="1">
      <c r="E248" s="114"/>
      <c r="F248" s="114"/>
    </row>
    <row r="249" ht="15.75" customHeight="1">
      <c r="E249" s="114"/>
      <c r="F249" s="114"/>
    </row>
    <row r="250" ht="15.75" customHeight="1">
      <c r="E250" s="114"/>
      <c r="F250" s="114"/>
    </row>
    <row r="251" ht="15.75" customHeight="1">
      <c r="E251" s="114"/>
      <c r="F251" s="114"/>
    </row>
    <row r="252" ht="15.75" customHeight="1">
      <c r="E252" s="114"/>
      <c r="F252" s="114"/>
    </row>
    <row r="253" ht="15.75" customHeight="1">
      <c r="E253" s="114"/>
      <c r="F253" s="114"/>
    </row>
    <row r="254" ht="15.75" customHeight="1">
      <c r="E254" s="114"/>
      <c r="F254" s="114"/>
    </row>
    <row r="255" ht="15.75" customHeight="1">
      <c r="E255" s="114"/>
      <c r="F255" s="114"/>
    </row>
    <row r="256" ht="15.75" customHeight="1">
      <c r="E256" s="114"/>
      <c r="F256" s="114"/>
    </row>
    <row r="257" ht="15.75" customHeight="1">
      <c r="E257" s="114"/>
      <c r="F257" s="114"/>
    </row>
    <row r="258" ht="15.75" customHeight="1">
      <c r="E258" s="114"/>
      <c r="F258" s="114"/>
    </row>
    <row r="259" ht="15.75" customHeight="1">
      <c r="E259" s="114"/>
      <c r="F259" s="114"/>
    </row>
    <row r="260" ht="15.75" customHeight="1">
      <c r="E260" s="114"/>
      <c r="F260" s="114"/>
    </row>
    <row r="261" ht="15.75" customHeight="1">
      <c r="E261" s="114"/>
      <c r="F261" s="114"/>
    </row>
    <row r="262" ht="15.75" customHeight="1">
      <c r="E262" s="114"/>
      <c r="F262" s="114"/>
    </row>
    <row r="263" ht="15.75" customHeight="1">
      <c r="E263" s="114"/>
      <c r="F263" s="114"/>
    </row>
    <row r="264" ht="15.75" customHeight="1">
      <c r="E264" s="114"/>
      <c r="F264" s="114"/>
    </row>
    <row r="265" ht="15.75" customHeight="1">
      <c r="E265" s="114"/>
      <c r="F265" s="114"/>
    </row>
    <row r="266" ht="15.75" customHeight="1">
      <c r="E266" s="114"/>
      <c r="F266" s="114"/>
    </row>
    <row r="267" ht="15.75" customHeight="1">
      <c r="E267" s="114"/>
      <c r="F267" s="114"/>
    </row>
    <row r="268" ht="15.75" customHeight="1">
      <c r="E268" s="114"/>
      <c r="F268" s="114"/>
    </row>
    <row r="269" ht="15.75" customHeight="1">
      <c r="E269" s="114"/>
      <c r="F269" s="114"/>
    </row>
    <row r="270" ht="15.75" customHeight="1">
      <c r="E270" s="114"/>
      <c r="F270" s="114"/>
    </row>
    <row r="271" ht="15.75" customHeight="1">
      <c r="E271" s="114"/>
      <c r="F271" s="114"/>
    </row>
    <row r="272" ht="15.75" customHeight="1">
      <c r="E272" s="114"/>
      <c r="F272" s="114"/>
    </row>
    <row r="273" ht="15.75" customHeight="1">
      <c r="E273" s="114"/>
      <c r="F273" s="114"/>
    </row>
    <row r="274" ht="15.75" customHeight="1">
      <c r="E274" s="114"/>
      <c r="F274" s="114"/>
    </row>
    <row r="275" ht="15.75" customHeight="1">
      <c r="E275" s="114"/>
      <c r="F275" s="114"/>
    </row>
    <row r="276" ht="15.75" customHeight="1">
      <c r="E276" s="114"/>
      <c r="F276" s="114"/>
    </row>
    <row r="277" ht="15.75" customHeight="1">
      <c r="E277" s="114"/>
      <c r="F277" s="114"/>
    </row>
    <row r="278" ht="15.75" customHeight="1">
      <c r="E278" s="114"/>
      <c r="F278" s="114"/>
    </row>
    <row r="279" ht="15.75" customHeight="1">
      <c r="E279" s="114"/>
      <c r="F279" s="114"/>
    </row>
    <row r="280" ht="15.75" customHeight="1">
      <c r="E280" s="114"/>
      <c r="F280" s="114"/>
    </row>
    <row r="281" ht="15.75" customHeight="1">
      <c r="E281" s="114"/>
      <c r="F281" s="114"/>
    </row>
    <row r="282" ht="15.75" customHeight="1">
      <c r="E282" s="114"/>
      <c r="F282" s="114"/>
    </row>
    <row r="283" ht="15.75" customHeight="1">
      <c r="E283" s="114"/>
      <c r="F283" s="114"/>
    </row>
    <row r="284" ht="15.75" customHeight="1">
      <c r="E284" s="114"/>
      <c r="F284" s="114"/>
    </row>
    <row r="285" ht="15.75" customHeight="1">
      <c r="E285" s="114"/>
      <c r="F285" s="114"/>
    </row>
    <row r="286" ht="15.75" customHeight="1">
      <c r="E286" s="114"/>
      <c r="F286" s="114"/>
    </row>
    <row r="287" ht="15.75" customHeight="1">
      <c r="E287" s="114"/>
      <c r="F287" s="114"/>
    </row>
    <row r="288" ht="15.75" customHeight="1">
      <c r="E288" s="114"/>
      <c r="F288" s="114"/>
    </row>
    <row r="289" ht="15.75" customHeight="1">
      <c r="E289" s="114"/>
      <c r="F289" s="114"/>
    </row>
    <row r="290" ht="15.75" customHeight="1">
      <c r="E290" s="114"/>
      <c r="F290" s="114"/>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0"/>
  <conditionalFormatting sqref="H1:H1000 I2:I90">
    <cfRule type="cellIs" dxfId="2" priority="1" operator="equal">
      <formula>0</formula>
    </cfRule>
  </conditionalFormatting>
  <dataValidations>
    <dataValidation type="list" allowBlank="1" sqref="F2:F90">
      <formula1>"Materials,Labor,Subcontracted"</formula1>
    </dataValidation>
    <dataValidation type="list" allowBlank="1" showErrorMessage="1" sqref="A2:A90">
      <formula1>"Phase 1,Phase 2,Phase 3,Phase 4,Phase 5"</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sheetPr>
  <sheetViews>
    <sheetView showGridLines="0" workbookViewId="0"/>
  </sheetViews>
  <sheetFormatPr customHeight="1" defaultColWidth="12.63" defaultRowHeight="15.0"/>
  <cols>
    <col customWidth="1" min="1" max="1" width="12.63"/>
    <col customWidth="1" min="2" max="3" width="31.38"/>
    <col customWidth="1" min="4" max="6" width="18.88"/>
    <col customWidth="1" min="10" max="10" width="22.0"/>
    <col customWidth="1" min="13" max="13" width="23.38"/>
  </cols>
  <sheetData>
    <row r="1" ht="75.0" customHeight="1">
      <c r="A1" s="6"/>
      <c r="B1" s="115" t="s">
        <v>266</v>
      </c>
      <c r="G1" s="53"/>
      <c r="H1" s="53"/>
      <c r="I1" s="6"/>
      <c r="J1" s="6"/>
      <c r="K1" s="54"/>
      <c r="L1" s="6"/>
      <c r="M1" s="6"/>
      <c r="N1" s="6"/>
      <c r="O1" s="6"/>
      <c r="P1" s="6"/>
      <c r="Q1" s="6"/>
      <c r="R1" s="6"/>
      <c r="S1" s="6"/>
      <c r="T1" s="6"/>
      <c r="U1" s="6"/>
      <c r="V1" s="6"/>
      <c r="W1" s="6"/>
      <c r="X1" s="6"/>
      <c r="Y1" s="6"/>
      <c r="Z1" s="6"/>
    </row>
    <row r="2" ht="37.5" customHeight="1">
      <c r="A2" s="6"/>
      <c r="B2" s="55" t="s">
        <v>267</v>
      </c>
      <c r="D2" s="56"/>
      <c r="E2" s="53"/>
      <c r="F2" s="53"/>
      <c r="G2" s="53"/>
      <c r="H2" s="53"/>
      <c r="I2" s="6"/>
      <c r="J2" s="6"/>
      <c r="K2" s="54"/>
      <c r="L2" s="6"/>
      <c r="M2" s="6"/>
      <c r="N2" s="6"/>
      <c r="O2" s="6"/>
      <c r="P2" s="6"/>
      <c r="Q2" s="6"/>
      <c r="R2" s="6"/>
      <c r="S2" s="6"/>
      <c r="T2" s="6"/>
      <c r="U2" s="6"/>
      <c r="V2" s="6"/>
      <c r="W2" s="6"/>
      <c r="X2" s="6"/>
      <c r="Y2" s="6"/>
      <c r="Z2" s="6"/>
    </row>
    <row r="3" ht="22.5" customHeight="1">
      <c r="B3" s="58" t="s">
        <v>135</v>
      </c>
      <c r="C3" s="58" t="s">
        <v>96</v>
      </c>
      <c r="D3" s="59" t="s">
        <v>187</v>
      </c>
      <c r="E3" s="59" t="s">
        <v>137</v>
      </c>
      <c r="F3" s="59" t="s">
        <v>268</v>
      </c>
    </row>
    <row r="4" ht="22.5" customHeight="1">
      <c r="B4" s="61" t="s">
        <v>69</v>
      </c>
      <c r="C4" s="61" t="s">
        <v>269</v>
      </c>
      <c r="D4" s="61" t="s">
        <v>126</v>
      </c>
      <c r="E4" s="62">
        <v>55000.0</v>
      </c>
      <c r="F4" s="62">
        <f>E4*DATA!$C$22</f>
        <v>66000</v>
      </c>
      <c r="I4" s="116">
        <v>40.0</v>
      </c>
      <c r="J4" s="116" t="s">
        <v>270</v>
      </c>
      <c r="K4" s="34"/>
      <c r="L4" s="116">
        <v>50.0</v>
      </c>
      <c r="M4" s="116" t="s">
        <v>271</v>
      </c>
    </row>
    <row r="5" ht="22.5" customHeight="1">
      <c r="B5" s="61" t="s">
        <v>272</v>
      </c>
      <c r="C5" s="65" t="s">
        <v>273</v>
      </c>
      <c r="D5" s="61"/>
      <c r="E5" s="62">
        <f>7500+3000</f>
        <v>10500</v>
      </c>
      <c r="F5" s="62">
        <f>E5*DATA!$C$22</f>
        <v>12600</v>
      </c>
      <c r="I5" s="116">
        <f>I4/5</f>
        <v>8</v>
      </c>
      <c r="J5" s="116" t="s">
        <v>274</v>
      </c>
      <c r="K5" s="34"/>
      <c r="L5" s="116">
        <v>10.0</v>
      </c>
      <c r="M5" s="116" t="s">
        <v>275</v>
      </c>
    </row>
    <row r="6" ht="22.5" customHeight="1">
      <c r="B6" s="61" t="s">
        <v>276</v>
      </c>
      <c r="C6" s="65"/>
      <c r="D6" s="61"/>
      <c r="E6" s="62">
        <v>10000.0</v>
      </c>
      <c r="F6" s="62">
        <f>E6*DATA!$C$22</f>
        <v>12000</v>
      </c>
      <c r="I6" s="116">
        <v>12.0</v>
      </c>
      <c r="J6" s="116" t="s">
        <v>277</v>
      </c>
      <c r="K6" s="34"/>
      <c r="L6" s="116">
        <v>20.0</v>
      </c>
      <c r="M6" s="116" t="s">
        <v>278</v>
      </c>
    </row>
    <row r="7" ht="22.5" customHeight="1">
      <c r="B7" s="61" t="s">
        <v>279</v>
      </c>
      <c r="C7" s="65"/>
      <c r="D7" s="61"/>
      <c r="E7" s="62">
        <v>16650.0</v>
      </c>
      <c r="F7" s="62">
        <f>E7*DATA!$C$22</f>
        <v>19980</v>
      </c>
      <c r="I7" s="116">
        <v>50.0</v>
      </c>
      <c r="J7" s="116" t="s">
        <v>280</v>
      </c>
      <c r="K7" s="34"/>
      <c r="L7" s="117">
        <f>SUM(L4:L6)</f>
        <v>80</v>
      </c>
      <c r="M7" s="117" t="s">
        <v>281</v>
      </c>
    </row>
    <row r="8" ht="22.5" customHeight="1">
      <c r="B8" s="61" t="s">
        <v>282</v>
      </c>
      <c r="C8" s="65" t="s">
        <v>283</v>
      </c>
      <c r="D8" s="61"/>
      <c r="E8" s="62">
        <v>25000.0</v>
      </c>
      <c r="F8" s="62">
        <f>E8*DATA!$C$22</f>
        <v>30000</v>
      </c>
      <c r="I8" s="117">
        <f>I6*I7</f>
        <v>600</v>
      </c>
      <c r="J8" s="117" t="s">
        <v>284</v>
      </c>
      <c r="K8" s="34"/>
      <c r="L8" s="118">
        <f>L7*I5</f>
        <v>640</v>
      </c>
      <c r="M8" s="119" t="s">
        <v>285</v>
      </c>
    </row>
    <row r="9" ht="22.5" customHeight="1">
      <c r="B9" s="61" t="s">
        <v>286</v>
      </c>
      <c r="C9" s="65" t="s">
        <v>287</v>
      </c>
      <c r="D9" s="61"/>
      <c r="E9" s="62">
        <v>5000.0</v>
      </c>
      <c r="F9" s="62">
        <f>E9*DATA!$C$22</f>
        <v>6000</v>
      </c>
      <c r="I9" s="118">
        <f>I8*I5</f>
        <v>4800</v>
      </c>
      <c r="J9" s="119" t="s">
        <v>288</v>
      </c>
      <c r="K9" s="34"/>
      <c r="L9" s="118">
        <f>I9+L8</f>
        <v>5440</v>
      </c>
      <c r="M9" s="119" t="s">
        <v>289</v>
      </c>
    </row>
    <row r="10" ht="22.5" customHeight="1">
      <c r="B10" s="61" t="s">
        <v>70</v>
      </c>
      <c r="C10" s="65" t="s">
        <v>290</v>
      </c>
      <c r="D10" s="61"/>
      <c r="E10" s="62">
        <v>40000.0</v>
      </c>
      <c r="F10" s="62">
        <f>E10*DATA!$C$22</f>
        <v>48000</v>
      </c>
    </row>
    <row r="11" ht="22.5" customHeight="1">
      <c r="B11" s="61" t="s">
        <v>282</v>
      </c>
      <c r="C11" s="65" t="s">
        <v>291</v>
      </c>
      <c r="D11" s="61"/>
      <c r="E11" s="62">
        <v>15000.0</v>
      </c>
      <c r="F11" s="62">
        <f>E11*DATA!$C$22</f>
        <v>18000</v>
      </c>
      <c r="I11" s="120">
        <v>39000.0</v>
      </c>
      <c r="J11" s="116" t="s">
        <v>292</v>
      </c>
    </row>
    <row r="12" ht="22.5" customHeight="1">
      <c r="B12" s="61"/>
      <c r="C12" s="65"/>
      <c r="D12" s="61"/>
      <c r="E12" s="62">
        <v>0.0</v>
      </c>
      <c r="F12" s="62">
        <f>E12*DATA!$C$22</f>
        <v>0</v>
      </c>
      <c r="I12" s="121">
        <f>L9</f>
        <v>5440</v>
      </c>
      <c r="J12" s="116" t="s">
        <v>293</v>
      </c>
      <c r="L12" s="122"/>
    </row>
    <row r="13" ht="22.5" customHeight="1">
      <c r="B13" s="61"/>
      <c r="C13" s="65"/>
      <c r="D13" s="61"/>
      <c r="E13" s="62">
        <v>0.0</v>
      </c>
      <c r="F13" s="62">
        <f>E13*DATA!$C$22</f>
        <v>0</v>
      </c>
      <c r="I13" s="121">
        <v>0.0</v>
      </c>
      <c r="J13" s="116" t="s">
        <v>294</v>
      </c>
      <c r="L13" s="122"/>
    </row>
    <row r="14" ht="22.5" customHeight="1">
      <c r="B14" s="61"/>
      <c r="C14" s="65"/>
      <c r="D14" s="61"/>
      <c r="E14" s="62">
        <v>0.0</v>
      </c>
      <c r="F14" s="62">
        <f>E14*DATA!$C$22</f>
        <v>0</v>
      </c>
      <c r="I14" s="121">
        <v>5000.0</v>
      </c>
      <c r="J14" s="116" t="s">
        <v>295</v>
      </c>
      <c r="L14" s="122"/>
    </row>
    <row r="15" ht="22.5" customHeight="1">
      <c r="B15" s="61"/>
      <c r="C15" s="65"/>
      <c r="D15" s="61"/>
      <c r="E15" s="62">
        <v>0.0</v>
      </c>
      <c r="F15" s="62">
        <f>E15*DATA!$C$22</f>
        <v>0</v>
      </c>
      <c r="I15" s="121">
        <v>0.0</v>
      </c>
      <c r="J15" s="116" t="s">
        <v>296</v>
      </c>
      <c r="L15" s="122"/>
    </row>
    <row r="16" ht="22.5" customHeight="1">
      <c r="B16" s="61"/>
      <c r="C16" s="65"/>
      <c r="D16" s="61"/>
      <c r="E16" s="62">
        <v>0.0</v>
      </c>
      <c r="F16" s="62">
        <f>E16*DATA!$C$22</f>
        <v>0</v>
      </c>
      <c r="I16" s="121">
        <v>1200.0</v>
      </c>
      <c r="J16" s="116" t="s">
        <v>297</v>
      </c>
      <c r="M16" s="122"/>
    </row>
    <row r="17" ht="22.5" customHeight="1">
      <c r="B17" s="65"/>
      <c r="C17" s="65"/>
      <c r="D17" s="61"/>
      <c r="E17" s="62">
        <v>0.0</v>
      </c>
      <c r="F17" s="62">
        <f>E17*DATA!$C$22</f>
        <v>0</v>
      </c>
      <c r="I17" s="123">
        <f>(E4)-I18</f>
        <v>4360</v>
      </c>
      <c r="J17" s="117" t="s">
        <v>298</v>
      </c>
    </row>
    <row r="18" ht="22.5" customHeight="1">
      <c r="B18" s="65"/>
      <c r="C18" s="65"/>
      <c r="D18" s="61"/>
      <c r="E18" s="62">
        <v>0.0</v>
      </c>
      <c r="F18" s="62">
        <f>E18*DATA!$C$22</f>
        <v>0</v>
      </c>
      <c r="I18" s="118">
        <f>SUM(I11:I16)</f>
        <v>50640</v>
      </c>
      <c r="J18" s="119" t="s">
        <v>299</v>
      </c>
    </row>
    <row r="19" ht="22.5" customHeight="1">
      <c r="B19" s="65"/>
      <c r="C19" s="65"/>
      <c r="D19" s="61"/>
      <c r="E19" s="62">
        <v>0.0</v>
      </c>
      <c r="F19" s="62">
        <f>E19*DATA!$C$22</f>
        <v>0</v>
      </c>
      <c r="I19" s="118">
        <f>SUM(I17:I18)</f>
        <v>55000</v>
      </c>
      <c r="J19" s="119" t="s">
        <v>300</v>
      </c>
    </row>
    <row r="20" ht="22.5" customHeight="1">
      <c r="B20" s="65"/>
      <c r="C20" s="65"/>
      <c r="D20" s="61"/>
      <c r="E20" s="62">
        <v>0.0</v>
      </c>
      <c r="F20" s="62">
        <f>E20*DATA!$C$22</f>
        <v>0</v>
      </c>
      <c r="I20" s="122"/>
    </row>
    <row r="21" ht="15.75" customHeight="1">
      <c r="I21" s="122"/>
    </row>
    <row r="22" ht="15.75" customHeight="1">
      <c r="I22" s="124"/>
    </row>
    <row r="23" ht="15.75" customHeight="1"/>
    <row r="24" ht="15.75" customHeight="1"/>
    <row r="25" ht="15.75" customHeight="1"/>
    <row r="26" ht="15.75" customHeight="1">
      <c r="D26" s="125">
        <f>800*3</f>
        <v>2400</v>
      </c>
      <c r="E26" s="11" t="s">
        <v>301</v>
      </c>
    </row>
    <row r="27" ht="15.75" customHeight="1">
      <c r="D27" s="126">
        <v>2000.0</v>
      </c>
      <c r="E27" s="127" t="s">
        <v>302</v>
      </c>
      <c r="F27" s="127"/>
    </row>
    <row r="28" ht="15.75" customHeight="1">
      <c r="D28" s="125">
        <f>SUM(D26:D27)</f>
        <v>4400</v>
      </c>
      <c r="E28" s="11" t="s">
        <v>299</v>
      </c>
    </row>
    <row r="29" ht="15.75" customHeight="1"/>
    <row r="30" ht="15.75" customHeight="1">
      <c r="D30" s="128">
        <v>15000.0</v>
      </c>
      <c r="E30" s="129" t="s">
        <v>303</v>
      </c>
      <c r="F30" s="129"/>
    </row>
    <row r="31" ht="15.75" customHeight="1"/>
    <row r="32" ht="15.75" customHeight="1">
      <c r="D32" s="128">
        <f>D30-D28</f>
        <v>10600</v>
      </c>
      <c r="E32" s="129" t="s">
        <v>304</v>
      </c>
      <c r="F32" s="129"/>
    </row>
    <row r="33" ht="15.75" customHeight="1"/>
    <row r="34" ht="15.75" customHeight="1">
      <c r="D34" s="125">
        <f>650*12</f>
        <v>7800</v>
      </c>
      <c r="E34" s="11" t="s">
        <v>305</v>
      </c>
    </row>
    <row r="35" ht="15.75" customHeight="1">
      <c r="D35" s="126">
        <f>150*6</f>
        <v>900</v>
      </c>
      <c r="E35" s="127" t="s">
        <v>306</v>
      </c>
      <c r="F35" s="127"/>
    </row>
    <row r="36" ht="15.75" customHeight="1">
      <c r="D36" s="125"/>
    </row>
    <row r="37" ht="15.75" customHeight="1">
      <c r="D37" s="125">
        <f>D32-D34-D35</f>
        <v>1900</v>
      </c>
      <c r="E37" s="11" t="s">
        <v>307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F1"/>
    <mergeCell ref="B2:C2"/>
  </mergeCells>
  <conditionalFormatting sqref="E4:F20">
    <cfRule type="cellIs" dxfId="0" priority="1" operator="equal">
      <formula>0</formula>
    </cfRule>
  </conditionalFormatting>
  <dataValidations>
    <dataValidation type="list" allowBlank="1" showErrorMessage="1" sqref="B4:B20">
      <formula1>'PROJECT ESTIMATE'!$C$78:$C$90</formula1>
    </dataValidation>
    <dataValidation type="list" allowBlank="1" showErrorMessage="1" sqref="D4:D20">
      <formula1>DATA!$B$46:$B$67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78894"/>
    <outlinePr summaryBelow="0" summaryRight="0"/>
    <pageSetUpPr fitToPage="1"/>
  </sheetPr>
  <sheetViews>
    <sheetView showGridLines="0" workbookViewId="0"/>
  </sheetViews>
  <sheetFormatPr customHeight="1" defaultColWidth="12.63" defaultRowHeight="15.0"/>
  <cols>
    <col customWidth="1" min="1" max="1" width="12.63"/>
    <col customWidth="1" min="2" max="2" width="6.38"/>
    <col customWidth="1" min="3" max="4" width="25.13"/>
    <col customWidth="1" min="5" max="5" width="25.38"/>
    <col customWidth="1" min="6" max="6" width="40.75"/>
    <col customWidth="1" min="7" max="7" width="6.38"/>
  </cols>
  <sheetData>
    <row r="1" ht="15.75" customHeight="1">
      <c r="A1" s="6"/>
      <c r="B1" s="6"/>
      <c r="C1" s="6"/>
      <c r="D1" s="6"/>
      <c r="E1" s="6"/>
      <c r="F1" s="6"/>
      <c r="G1" s="6"/>
      <c r="H1" s="6"/>
      <c r="I1" s="6"/>
      <c r="J1" s="6"/>
      <c r="K1" s="6"/>
      <c r="L1" s="6"/>
      <c r="M1" s="6"/>
      <c r="N1" s="6"/>
      <c r="O1" s="6"/>
      <c r="P1" s="6"/>
      <c r="Q1" s="6"/>
      <c r="R1" s="6"/>
      <c r="S1" s="6"/>
      <c r="T1" s="6"/>
      <c r="U1" s="6"/>
      <c r="V1" s="6"/>
      <c r="W1" s="6"/>
      <c r="X1" s="6"/>
      <c r="Y1" s="6"/>
      <c r="Z1" s="6"/>
    </row>
    <row r="2" ht="97.5" customHeight="1">
      <c r="A2" s="6"/>
      <c r="B2" s="130" t="s">
        <v>308</v>
      </c>
      <c r="F2" s="6"/>
      <c r="G2" s="6"/>
      <c r="H2" s="6"/>
      <c r="I2" s="6"/>
      <c r="J2" s="6"/>
      <c r="K2" s="6"/>
      <c r="L2" s="6"/>
      <c r="M2" s="6"/>
      <c r="N2" s="6"/>
      <c r="O2" s="6"/>
      <c r="P2" s="6"/>
      <c r="Q2" s="6"/>
      <c r="R2" s="6"/>
      <c r="S2" s="6"/>
      <c r="T2" s="6"/>
      <c r="U2" s="6"/>
      <c r="V2" s="6"/>
      <c r="W2" s="6"/>
      <c r="X2" s="6"/>
      <c r="Y2" s="6"/>
      <c r="Z2" s="6"/>
    </row>
    <row r="3" ht="37.5" customHeight="1">
      <c r="A3" s="6"/>
      <c r="B3" s="6"/>
      <c r="C3" s="6"/>
      <c r="D3" s="6"/>
      <c r="E3" s="6"/>
      <c r="F3" s="6"/>
      <c r="G3" s="6"/>
      <c r="H3" s="6"/>
      <c r="I3" s="6"/>
      <c r="J3" s="6"/>
      <c r="K3" s="6"/>
      <c r="L3" s="6"/>
      <c r="M3" s="6"/>
      <c r="N3" s="6"/>
      <c r="O3" s="6"/>
      <c r="P3" s="6"/>
      <c r="Q3" s="6"/>
      <c r="R3" s="6"/>
      <c r="S3" s="6"/>
      <c r="T3" s="6"/>
      <c r="U3" s="6"/>
      <c r="V3" s="6"/>
      <c r="W3" s="6"/>
      <c r="X3" s="6"/>
      <c r="Y3" s="6"/>
      <c r="Z3" s="6"/>
    </row>
    <row r="4" ht="37.5" customHeight="1">
      <c r="A4" s="6"/>
      <c r="B4" s="131"/>
      <c r="C4" s="132" t="s">
        <v>309</v>
      </c>
      <c r="D4" s="133" t="s">
        <v>310</v>
      </c>
      <c r="E4" s="34"/>
      <c r="F4" s="134" t="s">
        <v>311</v>
      </c>
      <c r="G4" s="6"/>
      <c r="H4" s="6"/>
      <c r="I4" s="6"/>
      <c r="J4" s="6"/>
      <c r="K4" s="6"/>
      <c r="L4" s="6"/>
      <c r="M4" s="6"/>
      <c r="N4" s="6"/>
      <c r="O4" s="6"/>
      <c r="P4" s="6"/>
      <c r="Q4" s="6"/>
      <c r="R4" s="6"/>
      <c r="S4" s="6"/>
      <c r="T4" s="6"/>
      <c r="U4" s="6"/>
      <c r="V4" s="6"/>
      <c r="W4" s="6"/>
      <c r="X4" s="6"/>
      <c r="Y4" s="6"/>
      <c r="Z4" s="6"/>
    </row>
    <row r="5" ht="15.75" customHeight="1">
      <c r="A5" s="6"/>
      <c r="B5" s="135"/>
      <c r="C5" s="136"/>
      <c r="D5" s="136"/>
      <c r="E5" s="34"/>
      <c r="F5" s="137"/>
      <c r="G5" s="6"/>
      <c r="H5" s="6"/>
      <c r="I5" s="6"/>
      <c r="J5" s="6"/>
      <c r="K5" s="6"/>
      <c r="L5" s="6"/>
      <c r="M5" s="6"/>
      <c r="N5" s="6"/>
      <c r="O5" s="6"/>
      <c r="P5" s="6"/>
      <c r="Q5" s="6"/>
      <c r="R5" s="6"/>
      <c r="S5" s="6"/>
      <c r="T5" s="6"/>
      <c r="U5" s="6"/>
      <c r="V5" s="6"/>
      <c r="W5" s="6"/>
      <c r="X5" s="6"/>
      <c r="Y5" s="6"/>
      <c r="Z5" s="6"/>
    </row>
    <row r="6" ht="37.5" customHeight="1">
      <c r="A6" s="6"/>
      <c r="B6" s="131"/>
      <c r="C6" s="132" t="s">
        <v>312</v>
      </c>
      <c r="D6" s="138">
        <f>TODAY()</f>
        <v>46043</v>
      </c>
      <c r="E6" s="139" t="b">
        <v>1</v>
      </c>
      <c r="F6" s="140" t="s">
        <v>313</v>
      </c>
      <c r="G6" s="6"/>
      <c r="H6" s="6"/>
      <c r="I6" s="6"/>
      <c r="J6" s="6"/>
      <c r="K6" s="6"/>
      <c r="L6" s="6"/>
      <c r="M6" s="6"/>
      <c r="N6" s="6"/>
      <c r="O6" s="6"/>
      <c r="P6" s="6"/>
      <c r="Q6" s="6"/>
      <c r="R6" s="6"/>
      <c r="S6" s="6"/>
      <c r="T6" s="6"/>
      <c r="U6" s="6"/>
      <c r="V6" s="6"/>
      <c r="W6" s="6"/>
      <c r="X6" s="6"/>
      <c r="Y6" s="6"/>
      <c r="Z6" s="6"/>
    </row>
    <row r="7" ht="15.75" customHeight="1">
      <c r="A7" s="6"/>
      <c r="B7" s="135"/>
      <c r="C7" s="141"/>
      <c r="D7" s="136"/>
      <c r="E7" s="139"/>
      <c r="F7" s="137"/>
      <c r="G7" s="6"/>
      <c r="H7" s="6"/>
      <c r="I7" s="6"/>
      <c r="J7" s="6"/>
      <c r="K7" s="6"/>
      <c r="L7" s="6"/>
      <c r="M7" s="6"/>
      <c r="N7" s="6"/>
      <c r="O7" s="6"/>
      <c r="P7" s="6"/>
      <c r="Q7" s="6"/>
      <c r="R7" s="6"/>
      <c r="S7" s="6"/>
      <c r="T7" s="6"/>
      <c r="U7" s="6"/>
      <c r="V7" s="6"/>
      <c r="W7" s="6"/>
      <c r="X7" s="6"/>
      <c r="Y7" s="6"/>
      <c r="Z7" s="6"/>
    </row>
    <row r="8" ht="37.5" customHeight="1">
      <c r="A8" s="6"/>
      <c r="B8" s="131"/>
      <c r="C8" s="132" t="s">
        <v>314</v>
      </c>
      <c r="D8" s="133">
        <v>1.0</v>
      </c>
      <c r="E8" s="139" t="b">
        <v>1</v>
      </c>
      <c r="F8" s="140" t="s">
        <v>315</v>
      </c>
      <c r="G8" s="6"/>
      <c r="H8" s="6"/>
      <c r="I8" s="6"/>
      <c r="J8" s="6"/>
      <c r="K8" s="6"/>
      <c r="L8" s="6"/>
      <c r="M8" s="6"/>
      <c r="N8" s="6"/>
      <c r="O8" s="6"/>
      <c r="P8" s="6"/>
      <c r="Q8" s="6"/>
      <c r="R8" s="6"/>
      <c r="S8" s="6"/>
      <c r="T8" s="6"/>
      <c r="U8" s="6"/>
      <c r="V8" s="6"/>
      <c r="W8" s="6"/>
      <c r="X8" s="6"/>
      <c r="Y8" s="6"/>
      <c r="Z8" s="6"/>
    </row>
    <row r="9" ht="15.75" customHeight="1">
      <c r="A9" s="6"/>
      <c r="B9" s="135"/>
      <c r="C9" s="141"/>
      <c r="D9" s="136"/>
      <c r="E9" s="139"/>
      <c r="F9" s="137"/>
      <c r="G9" s="6"/>
      <c r="H9" s="6"/>
      <c r="I9" s="6"/>
      <c r="J9" s="6"/>
      <c r="K9" s="6"/>
      <c r="L9" s="6"/>
      <c r="M9" s="6"/>
      <c r="N9" s="6"/>
      <c r="O9" s="6"/>
      <c r="P9" s="6"/>
      <c r="Q9" s="6"/>
      <c r="R9" s="6"/>
      <c r="S9" s="6"/>
      <c r="T9" s="6"/>
      <c r="U9" s="6"/>
      <c r="V9" s="6"/>
      <c r="W9" s="6"/>
      <c r="X9" s="6"/>
      <c r="Y9" s="6"/>
      <c r="Z9" s="6"/>
    </row>
    <row r="10" ht="37.5" customHeight="1">
      <c r="A10" s="6"/>
      <c r="B10" s="131"/>
      <c r="C10" s="132" t="s">
        <v>316</v>
      </c>
      <c r="D10" s="133" t="s">
        <v>317</v>
      </c>
      <c r="E10" s="139" t="b">
        <v>0</v>
      </c>
      <c r="F10" s="140" t="s">
        <v>318</v>
      </c>
      <c r="G10" s="6"/>
      <c r="H10" s="6"/>
      <c r="I10" s="6"/>
      <c r="J10" s="6"/>
      <c r="K10" s="6"/>
      <c r="L10" s="6"/>
      <c r="M10" s="6"/>
      <c r="N10" s="6"/>
      <c r="O10" s="6"/>
      <c r="P10" s="6"/>
      <c r="Q10" s="6"/>
      <c r="R10" s="6"/>
      <c r="S10" s="6"/>
      <c r="T10" s="6"/>
      <c r="U10" s="6"/>
      <c r="V10" s="6"/>
      <c r="W10" s="6"/>
      <c r="X10" s="6"/>
      <c r="Y10" s="6"/>
      <c r="Z10" s="6"/>
    </row>
    <row r="11" ht="37.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37.5" customHeight="1">
      <c r="A12" s="6"/>
      <c r="B12" s="142"/>
      <c r="C12" s="143" t="s">
        <v>319</v>
      </c>
      <c r="D12" s="144"/>
      <c r="E12" s="144"/>
      <c r="F12" s="144"/>
      <c r="G12" s="145"/>
      <c r="H12" s="6"/>
      <c r="I12" s="6"/>
      <c r="J12" s="6"/>
      <c r="K12" s="6"/>
      <c r="L12" s="6"/>
      <c r="M12" s="6"/>
      <c r="N12" s="6"/>
      <c r="O12" s="6"/>
      <c r="P12" s="6"/>
      <c r="Q12" s="6"/>
      <c r="R12" s="6"/>
      <c r="S12" s="6"/>
      <c r="T12" s="6"/>
      <c r="U12" s="6"/>
      <c r="V12" s="6"/>
      <c r="W12" s="6"/>
      <c r="X12" s="6"/>
      <c r="Y12" s="6"/>
      <c r="Z12" s="6"/>
    </row>
    <row r="13" ht="56.25" customHeight="1">
      <c r="A13" s="6"/>
      <c r="B13" s="146"/>
      <c r="C13" s="147" t="s">
        <v>83</v>
      </c>
      <c r="D13" s="148" t="str">
        <f>VLOOKUP(C13,DATA!B35:D38,3,FALSE)</f>
        <v>[MEDIUM RISK] KONTi and it's stakeholders are certain about how the project should proceed but not what needs to be done. Further definition may have cost and time overruns.</v>
      </c>
      <c r="E13" s="149"/>
      <c r="F13" s="150"/>
      <c r="G13" s="151"/>
      <c r="H13" s="6"/>
      <c r="I13" s="6"/>
      <c r="J13" s="6"/>
      <c r="K13" s="6"/>
      <c r="L13" s="6"/>
      <c r="M13" s="6"/>
      <c r="N13" s="6"/>
      <c r="O13" s="6"/>
      <c r="P13" s="6"/>
      <c r="Q13" s="6"/>
      <c r="R13" s="6"/>
      <c r="S13" s="6"/>
      <c r="T13" s="6"/>
      <c r="U13" s="6"/>
      <c r="V13" s="6"/>
      <c r="W13" s="6"/>
      <c r="X13" s="6"/>
      <c r="Y13" s="6"/>
      <c r="Z13" s="6"/>
    </row>
    <row r="14" ht="15.75" customHeight="1">
      <c r="A14" s="6"/>
      <c r="B14" s="6"/>
      <c r="C14" s="34"/>
      <c r="D14" s="34"/>
      <c r="E14" s="34"/>
      <c r="F14" s="34"/>
      <c r="G14" s="34"/>
      <c r="H14" s="6"/>
      <c r="I14" s="6"/>
      <c r="J14" s="6"/>
      <c r="K14" s="6"/>
      <c r="L14" s="6"/>
      <c r="M14" s="6"/>
      <c r="N14" s="6"/>
      <c r="O14" s="6"/>
      <c r="P14" s="6"/>
      <c r="Q14" s="6"/>
      <c r="R14" s="6"/>
      <c r="S14" s="6"/>
      <c r="T14" s="6"/>
      <c r="U14" s="6"/>
      <c r="V14" s="6"/>
      <c r="W14" s="6"/>
      <c r="X14" s="6"/>
      <c r="Y14" s="6"/>
      <c r="Z14" s="6"/>
    </row>
    <row r="15" ht="37.5" customHeight="1">
      <c r="A15" s="6"/>
      <c r="B15" s="142"/>
      <c r="C15" s="143" t="s">
        <v>320</v>
      </c>
      <c r="D15" s="144"/>
      <c r="E15" s="144"/>
      <c r="F15" s="144"/>
      <c r="G15" s="145"/>
      <c r="H15" s="6"/>
      <c r="I15" s="6"/>
      <c r="J15" s="6"/>
      <c r="K15" s="6"/>
      <c r="L15" s="6"/>
      <c r="M15" s="6"/>
      <c r="N15" s="6"/>
      <c r="O15" s="6"/>
      <c r="P15" s="6"/>
      <c r="Q15" s="6"/>
      <c r="R15" s="6"/>
      <c r="S15" s="6"/>
      <c r="T15" s="6"/>
      <c r="U15" s="6"/>
      <c r="V15" s="6"/>
      <c r="W15" s="6"/>
      <c r="X15" s="6"/>
      <c r="Y15" s="6"/>
      <c r="Z15" s="6"/>
    </row>
    <row r="16" ht="56.25" customHeight="1">
      <c r="A16" s="6"/>
      <c r="B16" s="146"/>
      <c r="C16" s="152" t="s">
        <v>321</v>
      </c>
      <c r="D16" s="149"/>
      <c r="E16" s="149"/>
      <c r="F16" s="150"/>
      <c r="G16" s="151"/>
      <c r="H16" s="6"/>
      <c r="I16" s="6"/>
      <c r="J16" s="6"/>
      <c r="K16" s="6"/>
      <c r="L16" s="6"/>
      <c r="M16" s="6"/>
      <c r="N16" s="6"/>
      <c r="O16" s="6"/>
      <c r="P16" s="6"/>
      <c r="Q16" s="6"/>
      <c r="R16" s="6"/>
      <c r="S16" s="6"/>
      <c r="T16" s="6"/>
      <c r="U16" s="6"/>
      <c r="V16" s="6"/>
      <c r="W16" s="6"/>
      <c r="X16" s="6"/>
      <c r="Y16" s="6"/>
      <c r="Z16" s="6"/>
    </row>
    <row r="17" ht="3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56.25" customHeight="1">
      <c r="A18" s="6"/>
      <c r="B18" s="153"/>
      <c r="C18" s="154" t="s">
        <v>322</v>
      </c>
      <c r="D18" s="155"/>
      <c r="E18" s="155"/>
      <c r="F18" s="155"/>
      <c r="G18" s="156"/>
      <c r="H18" s="6"/>
      <c r="I18" s="6"/>
      <c r="J18" s="6"/>
      <c r="K18" s="6"/>
      <c r="L18" s="6"/>
      <c r="M18" s="6"/>
      <c r="N18" s="6"/>
      <c r="O18" s="6"/>
      <c r="P18" s="6"/>
      <c r="Q18" s="6"/>
      <c r="R18" s="6"/>
      <c r="S18" s="6"/>
      <c r="T18" s="6"/>
      <c r="U18" s="6"/>
      <c r="V18" s="6"/>
      <c r="W18" s="6"/>
      <c r="X18" s="6"/>
      <c r="Y18" s="6"/>
      <c r="Z18" s="6"/>
    </row>
    <row r="19" ht="37.5" customHeight="1">
      <c r="A19" s="6"/>
      <c r="B19" s="157"/>
      <c r="C19" s="158" t="s">
        <v>323</v>
      </c>
      <c r="D19" s="159"/>
      <c r="E19" s="159"/>
      <c r="F19" s="160">
        <f>SUM(F24:F27)</f>
        <v>522906.3277</v>
      </c>
      <c r="G19" s="161"/>
      <c r="H19" s="6"/>
      <c r="I19" s="6"/>
      <c r="J19" s="6"/>
      <c r="K19" s="6"/>
      <c r="L19" s="6"/>
      <c r="M19" s="6"/>
      <c r="N19" s="6"/>
      <c r="O19" s="6"/>
      <c r="P19" s="6"/>
      <c r="Q19" s="6"/>
      <c r="R19" s="6"/>
      <c r="S19" s="6"/>
      <c r="T19" s="6"/>
      <c r="U19" s="6"/>
      <c r="V19" s="6"/>
      <c r="W19" s="6"/>
      <c r="X19" s="6"/>
      <c r="Y19" s="6"/>
      <c r="Z19" s="6"/>
    </row>
    <row r="20" ht="37.5" customHeight="1">
      <c r="A20" s="6"/>
      <c r="B20" s="157"/>
      <c r="C20" s="158" t="s">
        <v>324</v>
      </c>
      <c r="D20" s="159"/>
      <c r="E20" s="159"/>
      <c r="F20" s="162">
        <f>SUMIF(E38:G90,"Paid",F38:F90)</f>
        <v>36149</v>
      </c>
      <c r="G20" s="161"/>
      <c r="H20" s="6"/>
      <c r="I20" s="6"/>
      <c r="J20" s="6"/>
      <c r="K20" s="6"/>
      <c r="L20" s="6"/>
      <c r="M20" s="6"/>
      <c r="N20" s="6"/>
      <c r="O20" s="6"/>
      <c r="P20" s="6"/>
      <c r="Q20" s="6"/>
      <c r="R20" s="6"/>
      <c r="S20" s="6"/>
      <c r="T20" s="6"/>
      <c r="U20" s="6"/>
      <c r="V20" s="6"/>
      <c r="W20" s="6"/>
      <c r="X20" s="6"/>
      <c r="Y20" s="6"/>
      <c r="Z20" s="6"/>
    </row>
    <row r="21" ht="37.5" customHeight="1">
      <c r="A21" s="6"/>
      <c r="B21" s="163"/>
      <c r="C21" s="164" t="s">
        <v>325</v>
      </c>
      <c r="D21" s="165"/>
      <c r="E21" s="165"/>
      <c r="F21" s="166">
        <f>F19-F20</f>
        <v>486757.3277</v>
      </c>
      <c r="G21" s="167"/>
      <c r="H21" s="6"/>
      <c r="I21" s="6"/>
      <c r="J21" s="6"/>
      <c r="K21" s="6"/>
      <c r="L21" s="6"/>
      <c r="M21" s="6"/>
      <c r="N21" s="6"/>
      <c r="O21" s="6"/>
      <c r="P21" s="6"/>
      <c r="Q21" s="6"/>
      <c r="R21" s="6"/>
      <c r="S21" s="6"/>
      <c r="T21" s="6"/>
      <c r="U21" s="6"/>
      <c r="V21" s="6"/>
      <c r="W21" s="6"/>
      <c r="X21" s="6"/>
      <c r="Y21" s="6"/>
      <c r="Z21" s="6"/>
    </row>
    <row r="22" ht="37.5" customHeight="1">
      <c r="A22" s="6"/>
      <c r="B22" s="6"/>
      <c r="C22" s="168"/>
      <c r="D22" s="11"/>
      <c r="E22" s="169"/>
      <c r="F22" s="11"/>
      <c r="G22" s="6"/>
      <c r="H22" s="6"/>
      <c r="I22" s="6"/>
      <c r="J22" s="6"/>
      <c r="K22" s="6"/>
      <c r="L22" s="6"/>
      <c r="M22" s="6"/>
      <c r="N22" s="6"/>
      <c r="O22" s="6"/>
      <c r="P22" s="6"/>
      <c r="Q22" s="6"/>
      <c r="R22" s="6"/>
      <c r="S22" s="6"/>
      <c r="T22" s="6"/>
      <c r="U22" s="6"/>
      <c r="V22" s="6"/>
      <c r="W22" s="6"/>
      <c r="X22" s="6"/>
      <c r="Y22" s="6"/>
      <c r="Z22" s="6"/>
    </row>
    <row r="23" ht="56.25" customHeight="1">
      <c r="A23" s="6"/>
      <c r="B23" s="153"/>
      <c r="C23" s="154" t="s">
        <v>326</v>
      </c>
      <c r="D23" s="155"/>
      <c r="E23" s="155"/>
      <c r="F23" s="155"/>
      <c r="G23" s="156"/>
      <c r="H23" s="6"/>
      <c r="I23" s="6"/>
      <c r="J23" s="6"/>
      <c r="K23" s="6"/>
      <c r="L23" s="6"/>
      <c r="M23" s="6"/>
      <c r="N23" s="6"/>
      <c r="O23" s="6"/>
      <c r="P23" s="6"/>
      <c r="Q23" s="6"/>
      <c r="R23" s="6"/>
      <c r="S23" s="6"/>
      <c r="T23" s="6"/>
      <c r="U23" s="6"/>
      <c r="V23" s="6"/>
      <c r="W23" s="6"/>
      <c r="X23" s="6"/>
      <c r="Y23" s="6"/>
      <c r="Z23" s="6"/>
    </row>
    <row r="24" ht="37.5" customHeight="1">
      <c r="A24" s="6"/>
      <c r="B24" s="157"/>
      <c r="C24" s="170" t="s">
        <v>327</v>
      </c>
      <c r="D24" s="171"/>
      <c r="E24" s="171"/>
      <c r="F24" s="172">
        <f>F37</f>
        <v>33899</v>
      </c>
      <c r="G24" s="161"/>
      <c r="H24" s="6"/>
      <c r="I24" s="6"/>
      <c r="J24" s="6"/>
      <c r="K24" s="6"/>
      <c r="L24" s="6"/>
      <c r="M24" s="6"/>
      <c r="N24" s="6"/>
      <c r="O24" s="6"/>
      <c r="P24" s="6"/>
      <c r="Q24" s="6"/>
      <c r="R24" s="6"/>
      <c r="S24" s="6"/>
      <c r="T24" s="6"/>
      <c r="U24" s="6"/>
      <c r="V24" s="6"/>
      <c r="W24" s="6"/>
      <c r="X24" s="6"/>
      <c r="Y24" s="6"/>
      <c r="Z24" s="6"/>
    </row>
    <row r="25" ht="37.5" customHeight="1">
      <c r="A25" s="6"/>
      <c r="B25" s="157"/>
      <c r="C25" s="170" t="s">
        <v>328</v>
      </c>
      <c r="D25" s="171"/>
      <c r="E25" s="171"/>
      <c r="F25" s="172">
        <f>F45</f>
        <v>32529.66623</v>
      </c>
      <c r="G25" s="161"/>
      <c r="H25" s="6"/>
      <c r="I25" s="6"/>
      <c r="J25" s="6"/>
      <c r="K25" s="6"/>
      <c r="L25" s="6"/>
      <c r="M25" s="6"/>
      <c r="N25" s="6"/>
      <c r="O25" s="6"/>
      <c r="P25" s="6"/>
      <c r="Q25" s="6"/>
      <c r="R25" s="6"/>
      <c r="S25" s="6"/>
      <c r="T25" s="6"/>
      <c r="U25" s="6"/>
      <c r="V25" s="6"/>
      <c r="W25" s="6"/>
      <c r="X25" s="6"/>
      <c r="Y25" s="6"/>
      <c r="Z25" s="6"/>
    </row>
    <row r="26" ht="37.5" customHeight="1">
      <c r="A26" s="6"/>
      <c r="B26" s="157"/>
      <c r="C26" s="170" t="s">
        <v>329</v>
      </c>
      <c r="D26" s="171"/>
      <c r="E26" s="171"/>
      <c r="F26" s="172">
        <f>F64</f>
        <v>261897.6615</v>
      </c>
      <c r="G26" s="161"/>
      <c r="H26" s="6"/>
      <c r="I26" s="6"/>
      <c r="J26" s="6"/>
      <c r="K26" s="6"/>
      <c r="L26" s="6"/>
      <c r="M26" s="6"/>
      <c r="N26" s="6"/>
      <c r="O26" s="6"/>
      <c r="P26" s="6"/>
      <c r="Q26" s="6"/>
      <c r="R26" s="6"/>
      <c r="S26" s="6"/>
      <c r="T26" s="6"/>
      <c r="U26" s="6"/>
      <c r="V26" s="6"/>
      <c r="W26" s="6"/>
      <c r="X26" s="6"/>
      <c r="Y26" s="6"/>
      <c r="Z26" s="6"/>
    </row>
    <row r="27" ht="37.5" customHeight="1">
      <c r="A27" s="6"/>
      <c r="B27" s="157"/>
      <c r="C27" s="170" t="s">
        <v>330</v>
      </c>
      <c r="D27" s="171"/>
      <c r="E27" s="171"/>
      <c r="F27" s="172">
        <f>F77</f>
        <v>194580</v>
      </c>
      <c r="G27" s="161"/>
      <c r="H27" s="6"/>
      <c r="I27" s="6"/>
      <c r="J27" s="6"/>
      <c r="K27" s="6"/>
      <c r="L27" s="6"/>
      <c r="M27" s="6"/>
      <c r="N27" s="6"/>
      <c r="O27" s="6"/>
      <c r="P27" s="6"/>
      <c r="Q27" s="6"/>
      <c r="R27" s="6"/>
      <c r="S27" s="6"/>
      <c r="T27" s="6"/>
      <c r="U27" s="6"/>
      <c r="V27" s="6"/>
      <c r="W27" s="6"/>
      <c r="X27" s="6"/>
      <c r="Y27" s="6"/>
      <c r="Z27" s="6"/>
    </row>
    <row r="28" ht="37.5" customHeight="1">
      <c r="A28" s="6"/>
      <c r="B28" s="157"/>
      <c r="C28" s="173"/>
      <c r="D28" s="34"/>
      <c r="E28" s="34"/>
      <c r="F28" s="174"/>
      <c r="G28" s="161"/>
      <c r="H28" s="6"/>
      <c r="I28" s="6"/>
      <c r="J28" s="6"/>
      <c r="K28" s="6"/>
      <c r="L28" s="6"/>
      <c r="M28" s="6"/>
      <c r="N28" s="6"/>
      <c r="O28" s="6"/>
      <c r="P28" s="6"/>
      <c r="Q28" s="6"/>
      <c r="R28" s="6"/>
      <c r="S28" s="6"/>
      <c r="T28" s="6"/>
      <c r="U28" s="6"/>
      <c r="V28" s="6"/>
      <c r="W28" s="6"/>
      <c r="X28" s="6"/>
      <c r="Y28" s="6"/>
      <c r="Z28" s="6"/>
    </row>
    <row r="29" ht="37.5" customHeight="1">
      <c r="A29" s="6"/>
      <c r="B29" s="157"/>
      <c r="C29" s="175" t="s">
        <v>331</v>
      </c>
      <c r="D29" s="34"/>
      <c r="E29" s="34"/>
      <c r="F29" s="176">
        <f>IFERROR(SUM(F26:F27)*(DATA!C23-1),"-")</f>
        <v>68471.64923</v>
      </c>
      <c r="G29" s="161"/>
      <c r="H29" s="6"/>
      <c r="I29" s="6"/>
      <c r="J29" s="6"/>
      <c r="K29" s="6"/>
      <c r="L29" s="6"/>
      <c r="M29" s="6"/>
      <c r="N29" s="6"/>
      <c r="O29" s="6"/>
      <c r="P29" s="6"/>
      <c r="Q29" s="6"/>
      <c r="R29" s="6"/>
      <c r="S29" s="6"/>
      <c r="T29" s="6"/>
      <c r="U29" s="6"/>
      <c r="V29" s="6"/>
      <c r="W29" s="6"/>
      <c r="X29" s="6"/>
      <c r="Y29" s="6"/>
      <c r="Z29" s="6"/>
    </row>
    <row r="30" ht="105.0" customHeight="1">
      <c r="A30" s="6"/>
      <c r="B30" s="163"/>
      <c r="C30" s="177" t="s">
        <v>332</v>
      </c>
      <c r="D30" s="178"/>
      <c r="E30" s="178"/>
      <c r="F30" s="178"/>
      <c r="G30" s="167"/>
      <c r="H30" s="6"/>
      <c r="I30" s="6"/>
      <c r="J30" s="6"/>
      <c r="K30" s="6"/>
      <c r="L30" s="6"/>
      <c r="M30" s="6"/>
      <c r="N30" s="6"/>
      <c r="O30" s="6"/>
      <c r="P30" s="6"/>
      <c r="Q30" s="6"/>
      <c r="R30" s="6"/>
      <c r="S30" s="6"/>
      <c r="T30" s="6"/>
      <c r="U30" s="6"/>
      <c r="V30" s="6"/>
      <c r="W30" s="6"/>
      <c r="X30" s="6"/>
      <c r="Y30" s="6"/>
      <c r="Z30" s="6"/>
    </row>
    <row r="31" ht="75.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37.5" customHeight="1">
      <c r="A32" s="6"/>
      <c r="B32" s="179" t="s">
        <v>333</v>
      </c>
      <c r="H32" s="6"/>
      <c r="I32" s="6"/>
      <c r="J32" s="6"/>
      <c r="K32" s="6"/>
      <c r="L32" s="6"/>
      <c r="M32" s="6"/>
      <c r="N32" s="6"/>
      <c r="O32" s="6"/>
      <c r="P32" s="6"/>
      <c r="Q32" s="6"/>
      <c r="R32" s="6"/>
      <c r="S32" s="6"/>
      <c r="T32" s="6"/>
      <c r="U32" s="6"/>
      <c r="V32" s="6"/>
      <c r="W32" s="6"/>
      <c r="X32" s="6"/>
      <c r="Y32" s="6"/>
      <c r="Z32" s="6"/>
    </row>
    <row r="33" ht="18.75" customHeight="1">
      <c r="A33" s="6"/>
      <c r="B33" s="6"/>
      <c r="D33" s="6"/>
      <c r="E33" s="6"/>
      <c r="F33" s="6"/>
      <c r="G33" s="6"/>
      <c r="H33" s="6"/>
      <c r="I33" s="6"/>
      <c r="J33" s="6"/>
      <c r="K33" s="6"/>
      <c r="L33" s="6"/>
      <c r="M33" s="6"/>
      <c r="N33" s="6"/>
      <c r="O33" s="6"/>
      <c r="P33" s="6"/>
      <c r="Q33" s="6"/>
      <c r="R33" s="6"/>
      <c r="S33" s="6"/>
      <c r="T33" s="6"/>
      <c r="U33" s="6"/>
      <c r="V33" s="6"/>
      <c r="W33" s="6"/>
      <c r="X33" s="6"/>
      <c r="Y33" s="6"/>
      <c r="Z33" s="6"/>
    </row>
    <row r="34" ht="37.5" customHeight="1">
      <c r="A34" s="6"/>
      <c r="B34" s="180" t="s">
        <v>334</v>
      </c>
      <c r="G34" s="6"/>
      <c r="H34" s="6"/>
      <c r="I34" s="6"/>
      <c r="J34" s="6"/>
      <c r="K34" s="6"/>
      <c r="L34" s="6"/>
      <c r="M34" s="6"/>
      <c r="N34" s="6"/>
      <c r="O34" s="6"/>
      <c r="P34" s="6"/>
      <c r="Q34" s="6"/>
      <c r="R34" s="6"/>
      <c r="S34" s="6"/>
      <c r="T34" s="6"/>
      <c r="U34" s="6"/>
      <c r="V34" s="6"/>
      <c r="W34" s="6"/>
      <c r="X34" s="6"/>
      <c r="Y34" s="6"/>
      <c r="Z34" s="6"/>
    </row>
    <row r="35" ht="56.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56.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7.5" customHeight="1">
      <c r="A37" s="6"/>
      <c r="B37" s="181" t="s">
        <v>47</v>
      </c>
      <c r="C37" s="182"/>
      <c r="D37" s="183"/>
      <c r="E37" s="11"/>
      <c r="F37" s="184">
        <f>SUM(F38:F42)</f>
        <v>33899</v>
      </c>
      <c r="G37" s="6"/>
      <c r="H37" s="6"/>
      <c r="I37" s="6"/>
      <c r="J37" s="6"/>
      <c r="K37" s="6"/>
      <c r="L37" s="6"/>
      <c r="M37" s="6"/>
      <c r="N37" s="6"/>
      <c r="O37" s="6"/>
      <c r="P37" s="6"/>
      <c r="Q37" s="6"/>
      <c r="R37" s="6"/>
      <c r="S37" s="6"/>
      <c r="T37" s="6"/>
      <c r="U37" s="6"/>
      <c r="V37" s="6"/>
      <c r="W37" s="6"/>
      <c r="X37" s="6"/>
      <c r="Y37" s="6"/>
      <c r="Z37" s="6"/>
    </row>
    <row r="38" ht="56.25" customHeight="1">
      <c r="A38" s="6"/>
      <c r="B38" s="142"/>
      <c r="C38" s="185" t="s">
        <v>335</v>
      </c>
      <c r="D38" s="186"/>
      <c r="E38" s="187" t="s">
        <v>336</v>
      </c>
      <c r="F38" s="188">
        <f>DATA!C3</f>
        <v>26500</v>
      </c>
      <c r="G38" s="189"/>
      <c r="H38" s="6"/>
      <c r="I38" s="6"/>
      <c r="J38" s="6"/>
      <c r="K38" s="6"/>
      <c r="L38" s="6"/>
      <c r="M38" s="6"/>
      <c r="N38" s="6"/>
      <c r="O38" s="6"/>
      <c r="P38" s="6"/>
      <c r="Q38" s="6"/>
      <c r="R38" s="6"/>
      <c r="S38" s="6"/>
      <c r="T38" s="6"/>
      <c r="U38" s="6"/>
      <c r="V38" s="6"/>
      <c r="W38" s="6"/>
      <c r="X38" s="6"/>
      <c r="Y38" s="6"/>
      <c r="Z38" s="6"/>
    </row>
    <row r="39" ht="56.25" customHeight="1">
      <c r="A39" s="6"/>
      <c r="B39" s="190"/>
      <c r="C39" s="191" t="s">
        <v>337</v>
      </c>
      <c r="D39" s="192"/>
      <c r="E39" s="193" t="s">
        <v>336</v>
      </c>
      <c r="F39" s="194">
        <f>DATA!C4</f>
        <v>5179</v>
      </c>
      <c r="G39" s="195"/>
      <c r="H39" s="6"/>
      <c r="I39" s="6"/>
      <c r="J39" s="6"/>
      <c r="K39" s="6"/>
      <c r="L39" s="6"/>
      <c r="M39" s="6"/>
      <c r="N39" s="6"/>
      <c r="O39" s="6"/>
      <c r="P39" s="6"/>
      <c r="Q39" s="6"/>
      <c r="R39" s="6"/>
      <c r="S39" s="6"/>
      <c r="T39" s="6"/>
      <c r="U39" s="6"/>
      <c r="V39" s="6"/>
      <c r="W39" s="6"/>
      <c r="X39" s="6"/>
      <c r="Y39" s="6"/>
      <c r="Z39" s="6"/>
    </row>
    <row r="40" ht="56.25" customHeight="1">
      <c r="A40" s="6"/>
      <c r="B40" s="190"/>
      <c r="C40" s="191" t="s">
        <v>338</v>
      </c>
      <c r="D40" s="192"/>
      <c r="E40" s="193" t="s">
        <v>336</v>
      </c>
      <c r="F40" s="194">
        <f>DATA!C5</f>
        <v>2220</v>
      </c>
      <c r="G40" s="195"/>
      <c r="H40" s="6"/>
      <c r="I40" s="6"/>
      <c r="J40" s="6"/>
      <c r="K40" s="6"/>
      <c r="L40" s="6"/>
      <c r="M40" s="6"/>
      <c r="N40" s="6"/>
      <c r="O40" s="6"/>
      <c r="P40" s="6"/>
      <c r="Q40" s="6"/>
      <c r="R40" s="6"/>
      <c r="S40" s="6"/>
      <c r="T40" s="6"/>
      <c r="U40" s="6"/>
      <c r="V40" s="6"/>
      <c r="W40" s="6"/>
      <c r="X40" s="6"/>
      <c r="Y40" s="6"/>
      <c r="Z40" s="6"/>
    </row>
    <row r="41" ht="56.25" customHeight="1">
      <c r="A41" s="6"/>
      <c r="B41" s="190"/>
      <c r="C41" s="191" t="s">
        <v>339</v>
      </c>
      <c r="D41" s="192"/>
      <c r="E41" s="193" t="s">
        <v>340</v>
      </c>
      <c r="F41" s="194">
        <f>DATA!C6</f>
        <v>0</v>
      </c>
      <c r="G41" s="195"/>
      <c r="H41" s="6"/>
      <c r="I41" s="6"/>
      <c r="J41" s="6"/>
      <c r="K41" s="6"/>
      <c r="L41" s="6"/>
      <c r="M41" s="6"/>
      <c r="N41" s="6"/>
      <c r="O41" s="6"/>
      <c r="P41" s="6"/>
      <c r="Q41" s="6"/>
      <c r="R41" s="6"/>
      <c r="S41" s="6"/>
      <c r="T41" s="6"/>
      <c r="U41" s="6"/>
      <c r="V41" s="6"/>
      <c r="W41" s="6"/>
      <c r="X41" s="6"/>
      <c r="Y41" s="6"/>
      <c r="Z41" s="6"/>
    </row>
    <row r="42" ht="56.25" customHeight="1">
      <c r="A42" s="6"/>
      <c r="B42" s="146"/>
      <c r="C42" s="196" t="s">
        <v>341</v>
      </c>
      <c r="D42" s="197"/>
      <c r="E42" s="198" t="s">
        <v>340</v>
      </c>
      <c r="F42" s="199">
        <f>DATA!C7</f>
        <v>0</v>
      </c>
      <c r="G42" s="200"/>
      <c r="H42" s="6"/>
      <c r="I42" s="6"/>
      <c r="J42" s="6"/>
      <c r="K42" s="6"/>
      <c r="L42" s="6"/>
      <c r="M42" s="6"/>
      <c r="N42" s="6"/>
      <c r="O42" s="6"/>
      <c r="P42" s="6"/>
      <c r="Q42" s="6"/>
      <c r="R42" s="6"/>
      <c r="S42" s="6"/>
      <c r="T42" s="6"/>
      <c r="U42" s="6"/>
      <c r="V42" s="6"/>
      <c r="W42" s="6"/>
      <c r="X42" s="6"/>
      <c r="Y42" s="6"/>
      <c r="Z42" s="6"/>
    </row>
    <row r="43" ht="56.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56.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7.5" customHeight="1">
      <c r="A45" s="6"/>
      <c r="B45" s="201" t="s">
        <v>53</v>
      </c>
      <c r="C45" s="202"/>
      <c r="D45" s="203"/>
      <c r="E45" s="11"/>
      <c r="F45" s="184">
        <f>SUM(F46:F54)</f>
        <v>32529.66623</v>
      </c>
      <c r="G45" s="6"/>
      <c r="H45" s="6"/>
      <c r="I45" s="6"/>
      <c r="J45" s="6"/>
      <c r="K45" s="6"/>
      <c r="L45" s="6"/>
      <c r="M45" s="6"/>
      <c r="N45" s="6"/>
      <c r="O45" s="6"/>
      <c r="P45" s="6"/>
      <c r="Q45" s="6"/>
      <c r="R45" s="6"/>
      <c r="S45" s="6"/>
      <c r="T45" s="6"/>
      <c r="U45" s="6"/>
      <c r="V45" s="6"/>
      <c r="W45" s="6"/>
      <c r="X45" s="6"/>
      <c r="Y45" s="6"/>
      <c r="Z45" s="6"/>
    </row>
    <row r="46" ht="56.25" customHeight="1">
      <c r="A46" s="6"/>
      <c r="B46" s="142"/>
      <c r="C46" s="185" t="s">
        <v>342</v>
      </c>
      <c r="D46" s="186"/>
      <c r="E46" s="187" t="s">
        <v>343</v>
      </c>
      <c r="F46" s="188">
        <f>DATA!C10</f>
        <v>13094.88308</v>
      </c>
      <c r="G46" s="189"/>
      <c r="H46" s="7"/>
      <c r="I46" s="6"/>
      <c r="J46" s="6"/>
      <c r="K46" s="6"/>
      <c r="L46" s="6"/>
      <c r="M46" s="6"/>
      <c r="N46" s="6"/>
      <c r="O46" s="6"/>
      <c r="P46" s="6"/>
      <c r="Q46" s="6"/>
      <c r="R46" s="6"/>
      <c r="S46" s="6"/>
      <c r="T46" s="6"/>
      <c r="U46" s="6"/>
      <c r="V46" s="6"/>
      <c r="W46" s="6"/>
      <c r="X46" s="6"/>
      <c r="Y46" s="6"/>
      <c r="Z46" s="6"/>
    </row>
    <row r="47" ht="56.25" customHeight="1">
      <c r="A47" s="6"/>
      <c r="B47" s="190"/>
      <c r="C47" s="191" t="s">
        <v>344</v>
      </c>
      <c r="D47" s="192"/>
      <c r="E47" s="193" t="s">
        <v>336</v>
      </c>
      <c r="F47" s="194">
        <f>DATA!C11</f>
        <v>2250</v>
      </c>
      <c r="G47" s="195"/>
      <c r="H47" s="6"/>
      <c r="I47" s="6"/>
      <c r="J47" s="6"/>
      <c r="K47" s="6"/>
      <c r="L47" s="6"/>
      <c r="M47" s="6"/>
      <c r="N47" s="6"/>
      <c r="O47" s="6"/>
      <c r="P47" s="6"/>
      <c r="Q47" s="6"/>
      <c r="R47" s="6"/>
      <c r="S47" s="6"/>
      <c r="T47" s="6"/>
      <c r="U47" s="6"/>
      <c r="V47" s="6"/>
      <c r="W47" s="6"/>
      <c r="X47" s="6"/>
      <c r="Y47" s="6"/>
      <c r="Z47" s="6"/>
    </row>
    <row r="48" ht="56.25" customHeight="1">
      <c r="A48" s="6"/>
      <c r="B48" s="190"/>
      <c r="C48" s="191" t="s">
        <v>345</v>
      </c>
      <c r="D48" s="192"/>
      <c r="E48" s="193" t="s">
        <v>346</v>
      </c>
      <c r="F48" s="194">
        <f>DATA!C12</f>
        <v>2250</v>
      </c>
      <c r="G48" s="195"/>
      <c r="H48" s="6"/>
      <c r="I48" s="6"/>
      <c r="J48" s="6"/>
      <c r="K48" s="6"/>
      <c r="L48" s="6"/>
      <c r="M48" s="6"/>
      <c r="N48" s="6"/>
      <c r="O48" s="6"/>
      <c r="P48" s="6"/>
      <c r="Q48" s="6"/>
      <c r="R48" s="6"/>
      <c r="S48" s="6"/>
      <c r="T48" s="6"/>
      <c r="U48" s="6"/>
      <c r="V48" s="6"/>
      <c r="W48" s="6"/>
      <c r="X48" s="6"/>
      <c r="Y48" s="6"/>
      <c r="Z48" s="6"/>
    </row>
    <row r="49" ht="56.25" customHeight="1">
      <c r="A49" s="6"/>
      <c r="B49" s="190"/>
      <c r="C49" s="191" t="s">
        <v>347</v>
      </c>
      <c r="D49" s="192"/>
      <c r="E49" s="193" t="s">
        <v>343</v>
      </c>
      <c r="F49" s="194">
        <f>DATA!C13</f>
        <v>2661.15</v>
      </c>
      <c r="G49" s="195"/>
      <c r="H49" s="6"/>
      <c r="I49" s="6"/>
      <c r="J49" s="6"/>
      <c r="K49" s="6"/>
      <c r="L49" s="6"/>
      <c r="M49" s="6"/>
      <c r="N49" s="6"/>
      <c r="O49" s="6"/>
      <c r="P49" s="6"/>
      <c r="Q49" s="6"/>
      <c r="R49" s="6"/>
      <c r="S49" s="6"/>
      <c r="T49" s="6"/>
      <c r="U49" s="6"/>
      <c r="V49" s="6"/>
      <c r="W49" s="6"/>
      <c r="X49" s="6"/>
      <c r="Y49" s="6"/>
      <c r="Z49" s="6"/>
    </row>
    <row r="50" ht="56.25" customHeight="1">
      <c r="A50" s="6"/>
      <c r="B50" s="190"/>
      <c r="C50" s="191" t="s">
        <v>348</v>
      </c>
      <c r="D50" s="192"/>
      <c r="E50" s="193" t="s">
        <v>346</v>
      </c>
      <c r="F50" s="194">
        <f>DATA!C14</f>
        <v>75</v>
      </c>
      <c r="G50" s="195"/>
      <c r="H50" s="6"/>
      <c r="I50" s="6"/>
      <c r="J50" s="6"/>
      <c r="K50" s="6"/>
      <c r="L50" s="6"/>
      <c r="M50" s="6"/>
      <c r="N50" s="6"/>
      <c r="O50" s="6"/>
      <c r="P50" s="6"/>
      <c r="Q50" s="6"/>
      <c r="R50" s="6"/>
      <c r="S50" s="6"/>
      <c r="T50" s="6"/>
      <c r="U50" s="6"/>
      <c r="V50" s="6"/>
      <c r="W50" s="6"/>
      <c r="X50" s="6"/>
      <c r="Y50" s="6"/>
      <c r="Z50" s="6"/>
    </row>
    <row r="51" ht="56.25" customHeight="1">
      <c r="A51" s="6"/>
      <c r="B51" s="190"/>
      <c r="C51" s="191" t="s">
        <v>349</v>
      </c>
      <c r="D51" s="192"/>
      <c r="E51" s="193" t="s">
        <v>343</v>
      </c>
      <c r="F51" s="194">
        <f>DATA!C15</f>
        <v>2898.633151</v>
      </c>
      <c r="G51" s="195"/>
      <c r="H51" s="6"/>
      <c r="I51" s="6"/>
      <c r="J51" s="6"/>
      <c r="K51" s="6"/>
      <c r="L51" s="6"/>
      <c r="M51" s="6"/>
      <c r="N51" s="6"/>
      <c r="O51" s="6"/>
      <c r="P51" s="6"/>
      <c r="Q51" s="6"/>
      <c r="R51" s="6"/>
      <c r="S51" s="6"/>
      <c r="T51" s="6"/>
      <c r="U51" s="6"/>
      <c r="V51" s="6"/>
      <c r="W51" s="6"/>
      <c r="X51" s="6"/>
      <c r="Y51" s="6"/>
      <c r="Z51" s="6"/>
    </row>
    <row r="52" ht="56.25" customHeight="1">
      <c r="A52" s="6"/>
      <c r="B52" s="190"/>
      <c r="C52" s="191" t="s">
        <v>350</v>
      </c>
      <c r="D52" s="192"/>
      <c r="E52" s="193" t="s">
        <v>343</v>
      </c>
      <c r="F52" s="194">
        <f>DATA!C16</f>
        <v>300</v>
      </c>
      <c r="G52" s="195"/>
      <c r="H52" s="6"/>
      <c r="I52" s="6"/>
      <c r="J52" s="6"/>
      <c r="K52" s="6"/>
      <c r="L52" s="6"/>
      <c r="M52" s="6"/>
      <c r="N52" s="6"/>
      <c r="O52" s="6"/>
      <c r="P52" s="6"/>
      <c r="Q52" s="6"/>
      <c r="R52" s="6"/>
      <c r="S52" s="6"/>
      <c r="T52" s="6"/>
      <c r="U52" s="6"/>
      <c r="V52" s="6"/>
      <c r="W52" s="6"/>
      <c r="X52" s="6"/>
      <c r="Y52" s="6"/>
      <c r="Z52" s="6"/>
    </row>
    <row r="53" ht="56.25" customHeight="1">
      <c r="A53" s="6"/>
      <c r="B53" s="190"/>
      <c r="C53" s="191" t="s">
        <v>351</v>
      </c>
      <c r="D53" s="192"/>
      <c r="E53" s="193" t="s">
        <v>343</v>
      </c>
      <c r="F53" s="194">
        <f>DATA!C17</f>
        <v>0</v>
      </c>
      <c r="G53" s="195"/>
      <c r="H53" s="6"/>
      <c r="I53" s="6"/>
      <c r="J53" s="6"/>
      <c r="K53" s="6"/>
      <c r="L53" s="6"/>
      <c r="M53" s="6"/>
      <c r="N53" s="6"/>
      <c r="O53" s="6"/>
      <c r="P53" s="6"/>
      <c r="Q53" s="6"/>
      <c r="R53" s="6"/>
      <c r="S53" s="6"/>
      <c r="T53" s="6"/>
      <c r="U53" s="6"/>
      <c r="V53" s="6"/>
      <c r="W53" s="6"/>
      <c r="X53" s="6"/>
      <c r="Y53" s="6"/>
      <c r="Z53" s="6"/>
    </row>
    <row r="54" ht="56.25" customHeight="1">
      <c r="A54" s="6"/>
      <c r="B54" s="146"/>
      <c r="C54" s="196" t="s">
        <v>352</v>
      </c>
      <c r="D54" s="197"/>
      <c r="E54" s="198" t="s">
        <v>343</v>
      </c>
      <c r="F54" s="199">
        <f>DATA!C18</f>
        <v>9000</v>
      </c>
      <c r="G54" s="200"/>
      <c r="H54" s="6"/>
      <c r="I54" s="6"/>
      <c r="J54" s="6"/>
      <c r="K54" s="6"/>
      <c r="L54" s="6"/>
      <c r="M54" s="6"/>
      <c r="N54" s="6"/>
      <c r="O54" s="6"/>
      <c r="P54" s="6"/>
      <c r="Q54" s="6"/>
      <c r="R54" s="6"/>
      <c r="S54" s="6"/>
      <c r="T54" s="6"/>
      <c r="U54" s="6"/>
      <c r="V54" s="6"/>
      <c r="W54" s="6"/>
      <c r="X54" s="6"/>
      <c r="Y54" s="6"/>
      <c r="Z54" s="6"/>
    </row>
    <row r="55" ht="3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3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3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3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37.5" customHeight="1">
      <c r="A59" s="6"/>
      <c r="B59" s="179" t="s">
        <v>333</v>
      </c>
      <c r="H59" s="6"/>
      <c r="I59" s="6"/>
      <c r="J59" s="6"/>
      <c r="K59" s="6"/>
      <c r="L59" s="6"/>
      <c r="M59" s="6"/>
      <c r="N59" s="6"/>
      <c r="O59" s="6"/>
      <c r="P59" s="6"/>
      <c r="Q59" s="6"/>
      <c r="R59" s="6"/>
      <c r="S59" s="6"/>
      <c r="T59" s="6"/>
      <c r="U59" s="6"/>
      <c r="V59" s="6"/>
      <c r="W59" s="6"/>
      <c r="X59" s="6"/>
      <c r="Y59" s="6"/>
      <c r="Z59" s="6"/>
    </row>
    <row r="60" ht="18.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37.5" customHeight="1">
      <c r="A61" s="6"/>
      <c r="B61" s="180" t="s">
        <v>353</v>
      </c>
      <c r="G61" s="6"/>
      <c r="H61" s="6"/>
      <c r="I61" s="6"/>
      <c r="J61" s="6"/>
      <c r="K61" s="6"/>
      <c r="L61" s="6"/>
      <c r="M61" s="6"/>
      <c r="N61" s="6"/>
      <c r="O61" s="6"/>
      <c r="P61" s="6"/>
      <c r="Q61" s="6"/>
      <c r="R61" s="6"/>
      <c r="S61" s="6"/>
      <c r="T61" s="6"/>
      <c r="U61" s="6"/>
      <c r="V61" s="6"/>
      <c r="W61" s="6"/>
      <c r="X61" s="6"/>
      <c r="Y61" s="6"/>
      <c r="Z61" s="6"/>
    </row>
    <row r="62" ht="3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3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37.5" customHeight="1">
      <c r="A64" s="6"/>
      <c r="B64" s="201" t="s">
        <v>354</v>
      </c>
      <c r="C64" s="202"/>
      <c r="D64" s="203"/>
      <c r="E64" s="11"/>
      <c r="F64" s="184">
        <f>SUM(F65:F75)</f>
        <v>261897.6615</v>
      </c>
      <c r="G64" s="6"/>
      <c r="H64" s="6"/>
      <c r="I64" s="6"/>
      <c r="J64" s="6"/>
      <c r="K64" s="6"/>
      <c r="L64" s="6"/>
      <c r="M64" s="6"/>
      <c r="N64" s="6"/>
      <c r="O64" s="6"/>
      <c r="P64" s="6"/>
      <c r="Q64" s="6"/>
      <c r="R64" s="6"/>
      <c r="S64" s="6"/>
      <c r="T64" s="6"/>
      <c r="U64" s="6"/>
      <c r="V64" s="6"/>
      <c r="W64" s="6"/>
      <c r="X64" s="6"/>
      <c r="Y64" s="6"/>
      <c r="Z64" s="6"/>
    </row>
    <row r="65" ht="45.0" customHeight="1">
      <c r="A65" s="6"/>
      <c r="B65" s="142"/>
      <c r="C65" s="185" t="s">
        <v>355</v>
      </c>
      <c r="D65" s="186"/>
      <c r="E65" s="204" t="s">
        <v>138</v>
      </c>
      <c r="F65" s="188">
        <f>SUM('PRODUCT PHASES 1-5'!J2:J4)*DATA!C22</f>
        <v>20400</v>
      </c>
      <c r="G65" s="189"/>
      <c r="H65" s="6"/>
      <c r="I65" s="6"/>
      <c r="J65" s="6"/>
      <c r="K65" s="6"/>
      <c r="L65" s="6"/>
      <c r="M65" s="6"/>
      <c r="N65" s="6"/>
      <c r="O65" s="6"/>
      <c r="P65" s="6"/>
      <c r="Q65" s="6"/>
      <c r="R65" s="6"/>
      <c r="S65" s="6"/>
      <c r="T65" s="6"/>
      <c r="U65" s="6"/>
      <c r="V65" s="6"/>
      <c r="W65" s="6"/>
      <c r="X65" s="6"/>
      <c r="Y65" s="6"/>
      <c r="Z65" s="6"/>
    </row>
    <row r="66" ht="45.0" customHeight="1">
      <c r="A66" s="6"/>
      <c r="B66" s="190"/>
      <c r="C66" s="191" t="s">
        <v>356</v>
      </c>
      <c r="D66" s="192"/>
      <c r="E66" s="205" t="s">
        <v>138</v>
      </c>
      <c r="F66" s="194">
        <f>SUM('PRODUCT PHASES 1-5'!J6:J12)*DATA!C22</f>
        <v>30718.038</v>
      </c>
      <c r="G66" s="195"/>
      <c r="H66" s="6"/>
      <c r="I66" s="6"/>
      <c r="J66" s="6"/>
      <c r="K66" s="6"/>
      <c r="L66" s="6"/>
      <c r="M66" s="6"/>
      <c r="N66" s="6"/>
      <c r="O66" s="6"/>
      <c r="P66" s="6"/>
      <c r="Q66" s="6"/>
      <c r="R66" s="6"/>
      <c r="S66" s="6"/>
      <c r="T66" s="6"/>
      <c r="U66" s="6"/>
      <c r="V66" s="6"/>
      <c r="W66" s="6"/>
      <c r="X66" s="6"/>
      <c r="Y66" s="6"/>
      <c r="Z66" s="6"/>
    </row>
    <row r="67" ht="45.0" customHeight="1">
      <c r="A67" s="6"/>
      <c r="B67" s="190"/>
      <c r="C67" s="191" t="s">
        <v>357</v>
      </c>
      <c r="D67" s="192"/>
      <c r="E67" s="205" t="s">
        <v>358</v>
      </c>
      <c r="F67" s="194">
        <f>SUM('PRODUCT PHASES 1-5'!J13:J16)*DATA!C22</f>
        <v>19200</v>
      </c>
      <c r="G67" s="195"/>
      <c r="H67" s="206">
        <f>F67/2</f>
        <v>9600</v>
      </c>
      <c r="I67" s="6"/>
      <c r="J67" s="6"/>
      <c r="K67" s="6"/>
      <c r="L67" s="6"/>
      <c r="M67" s="6"/>
      <c r="N67" s="6"/>
      <c r="O67" s="6"/>
      <c r="P67" s="6"/>
      <c r="Q67" s="6"/>
      <c r="R67" s="6"/>
      <c r="S67" s="6"/>
      <c r="T67" s="6"/>
      <c r="U67" s="6"/>
      <c r="V67" s="6"/>
      <c r="W67" s="6"/>
      <c r="X67" s="6"/>
      <c r="Y67" s="6"/>
      <c r="Z67" s="6"/>
    </row>
    <row r="68" ht="45.0" customHeight="1">
      <c r="A68" s="6"/>
      <c r="B68" s="190"/>
      <c r="C68" s="191" t="s">
        <v>359</v>
      </c>
      <c r="D68" s="192"/>
      <c r="E68" s="205" t="s">
        <v>149</v>
      </c>
      <c r="F68" s="194">
        <f>SUM('PRODUCT PHASES 1-5'!J17:J30)*DATA!C22</f>
        <v>54637.0755</v>
      </c>
      <c r="G68" s="195"/>
      <c r="H68" s="206"/>
      <c r="I68" s="6"/>
      <c r="J68" s="6"/>
      <c r="K68" s="6"/>
      <c r="L68" s="6"/>
      <c r="M68" s="6"/>
      <c r="N68" s="6"/>
      <c r="O68" s="6"/>
      <c r="P68" s="6"/>
      <c r="Q68" s="6"/>
      <c r="R68" s="6"/>
      <c r="S68" s="6"/>
      <c r="T68" s="6"/>
      <c r="U68" s="6"/>
      <c r="V68" s="6"/>
      <c r="W68" s="6"/>
      <c r="X68" s="6"/>
      <c r="Y68" s="6"/>
      <c r="Z68" s="6"/>
    </row>
    <row r="69" ht="45.0" customHeight="1">
      <c r="A69" s="6"/>
      <c r="B69" s="190"/>
      <c r="C69" s="191" t="s">
        <v>360</v>
      </c>
      <c r="D69" s="192"/>
      <c r="E69" s="205" t="s">
        <v>153</v>
      </c>
      <c r="F69" s="194">
        <f>SUM('PRODUCT PHASES 1-5'!J35:J48)*DATA!C22</f>
        <v>34731.798</v>
      </c>
      <c r="G69" s="195"/>
      <c r="H69" s="206"/>
      <c r="I69" s="6"/>
      <c r="J69" s="6"/>
      <c r="K69" s="6"/>
      <c r="L69" s="6"/>
      <c r="M69" s="6"/>
      <c r="N69" s="6"/>
      <c r="O69" s="6"/>
      <c r="P69" s="6"/>
      <c r="Q69" s="6"/>
      <c r="R69" s="6"/>
      <c r="S69" s="6"/>
      <c r="T69" s="6"/>
      <c r="U69" s="6"/>
      <c r="V69" s="6"/>
      <c r="W69" s="6"/>
      <c r="X69" s="6"/>
      <c r="Y69" s="6"/>
      <c r="Z69" s="6"/>
    </row>
    <row r="70" ht="45.0" customHeight="1">
      <c r="A70" s="6"/>
      <c r="B70" s="190"/>
      <c r="C70" s="191" t="s">
        <v>361</v>
      </c>
      <c r="D70" s="207"/>
      <c r="E70" s="205" t="s">
        <v>153</v>
      </c>
      <c r="F70" s="194">
        <f>SUM('PRODUCT PHASES 1-5'!J49:J60)*DATA!C22</f>
        <v>12921.864</v>
      </c>
      <c r="G70" s="195"/>
      <c r="H70" s="206"/>
      <c r="I70" s="6"/>
      <c r="J70" s="6"/>
      <c r="K70" s="6"/>
      <c r="L70" s="6"/>
      <c r="M70" s="6"/>
      <c r="N70" s="6"/>
      <c r="O70" s="6"/>
      <c r="P70" s="6"/>
      <c r="Q70" s="6"/>
      <c r="R70" s="6"/>
      <c r="S70" s="6"/>
      <c r="T70" s="6"/>
      <c r="U70" s="6"/>
      <c r="V70" s="6"/>
      <c r="W70" s="6"/>
      <c r="X70" s="6"/>
      <c r="Y70" s="6"/>
      <c r="Z70" s="6"/>
    </row>
    <row r="71" ht="45.0" customHeight="1">
      <c r="A71" s="6"/>
      <c r="B71" s="190"/>
      <c r="C71" s="191" t="s">
        <v>362</v>
      </c>
      <c r="D71" s="192"/>
      <c r="E71" s="205" t="s">
        <v>363</v>
      </c>
      <c r="F71" s="194">
        <f>SUM('PRODUCT PHASES 1-5'!J31:J34,'PRODUCT PHASES 1-5'!J61:J62)*DATA!C22</f>
        <v>20825.67</v>
      </c>
      <c r="G71" s="195"/>
      <c r="H71" s="206">
        <f>F71/2</f>
        <v>10412.835</v>
      </c>
      <c r="I71" s="6"/>
      <c r="J71" s="6"/>
      <c r="K71" s="6"/>
      <c r="L71" s="6"/>
      <c r="M71" s="6"/>
      <c r="N71" s="6"/>
      <c r="O71" s="6"/>
      <c r="P71" s="6"/>
      <c r="Q71" s="6"/>
      <c r="R71" s="6"/>
      <c r="S71" s="6"/>
      <c r="T71" s="6"/>
      <c r="U71" s="6"/>
      <c r="V71" s="6"/>
      <c r="W71" s="6"/>
      <c r="X71" s="6"/>
      <c r="Y71" s="6"/>
      <c r="Z71" s="6"/>
    </row>
    <row r="72" ht="45.0" customHeight="1">
      <c r="A72" s="6"/>
      <c r="B72" s="190"/>
      <c r="C72" s="191" t="s">
        <v>364</v>
      </c>
      <c r="D72" s="207"/>
      <c r="E72" s="205" t="s">
        <v>159</v>
      </c>
      <c r="F72" s="194">
        <f>SUM('PRODUCT PHASES 1-5'!J63:J76)*DATA!C22</f>
        <v>24614.136</v>
      </c>
      <c r="G72" s="195"/>
      <c r="H72" s="6"/>
      <c r="I72" s="6"/>
      <c r="J72" s="6"/>
      <c r="K72" s="6"/>
      <c r="L72" s="6"/>
      <c r="M72" s="6"/>
      <c r="N72" s="6"/>
      <c r="O72" s="6"/>
      <c r="P72" s="6"/>
      <c r="Q72" s="6"/>
      <c r="R72" s="6"/>
      <c r="S72" s="6"/>
      <c r="T72" s="6"/>
      <c r="U72" s="6"/>
      <c r="V72" s="6"/>
      <c r="W72" s="6"/>
      <c r="X72" s="6"/>
      <c r="Y72" s="6"/>
      <c r="Z72" s="6"/>
    </row>
    <row r="73" ht="45.0" customHeight="1">
      <c r="A73" s="6"/>
      <c r="B73" s="190"/>
      <c r="C73" s="191" t="s">
        <v>365</v>
      </c>
      <c r="D73" s="207"/>
      <c r="E73" s="205" t="s">
        <v>159</v>
      </c>
      <c r="F73" s="194">
        <f>SUM('PRODUCT PHASES 1-5'!J77:J79)*DATA!C22</f>
        <v>22200</v>
      </c>
      <c r="G73" s="195"/>
      <c r="H73" s="6"/>
      <c r="I73" s="6"/>
      <c r="J73" s="6"/>
      <c r="K73" s="6"/>
      <c r="L73" s="6"/>
      <c r="M73" s="6"/>
      <c r="N73" s="6"/>
      <c r="O73" s="6"/>
      <c r="P73" s="6"/>
      <c r="Q73" s="6"/>
      <c r="R73" s="6"/>
      <c r="S73" s="6"/>
      <c r="T73" s="6"/>
      <c r="U73" s="6"/>
      <c r="V73" s="6"/>
      <c r="W73" s="6"/>
      <c r="X73" s="6"/>
      <c r="Y73" s="6"/>
      <c r="Z73" s="6"/>
    </row>
    <row r="74" ht="45.0" customHeight="1">
      <c r="A74" s="6"/>
      <c r="B74" s="190"/>
      <c r="C74" s="191" t="s">
        <v>366</v>
      </c>
      <c r="D74" s="207"/>
      <c r="E74" s="205" t="s">
        <v>165</v>
      </c>
      <c r="F74" s="194">
        <f>SUM('PRODUCT PHASES 1-5'!J80:J89)*DATA!C22</f>
        <v>19249.08</v>
      </c>
      <c r="G74" s="195"/>
      <c r="H74" s="6"/>
      <c r="I74" s="6"/>
      <c r="J74" s="6"/>
      <c r="K74" s="6"/>
      <c r="L74" s="6"/>
      <c r="M74" s="6"/>
      <c r="N74" s="6"/>
      <c r="O74" s="6"/>
      <c r="P74" s="6"/>
      <c r="Q74" s="6"/>
      <c r="R74" s="6"/>
      <c r="S74" s="6"/>
      <c r="T74" s="6"/>
      <c r="U74" s="6"/>
      <c r="V74" s="6"/>
      <c r="W74" s="6"/>
      <c r="X74" s="6"/>
      <c r="Y74" s="6"/>
      <c r="Z74" s="6"/>
    </row>
    <row r="75" ht="45.0" customHeight="1">
      <c r="A75" s="6"/>
      <c r="B75" s="146"/>
      <c r="C75" s="196" t="s">
        <v>367</v>
      </c>
      <c r="D75" s="197"/>
      <c r="E75" s="198" t="s">
        <v>165</v>
      </c>
      <c r="F75" s="199">
        <f>'PRODUCT PHASES 1-5'!J90*DATA!C22</f>
        <v>2400</v>
      </c>
      <c r="G75" s="200"/>
      <c r="H75" s="6"/>
      <c r="I75" s="6"/>
      <c r="J75" s="6"/>
      <c r="K75" s="6"/>
      <c r="L75" s="6"/>
      <c r="M75" s="6"/>
      <c r="N75" s="6"/>
      <c r="O75" s="6"/>
      <c r="P75" s="6"/>
      <c r="Q75" s="6"/>
      <c r="R75" s="6"/>
      <c r="S75" s="6"/>
      <c r="T75" s="6"/>
      <c r="U75" s="6"/>
      <c r="V75" s="6"/>
      <c r="W75" s="6"/>
      <c r="X75" s="6"/>
      <c r="Y75" s="6"/>
      <c r="Z75" s="6"/>
    </row>
    <row r="76" ht="3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37.5" customHeight="1">
      <c r="A77" s="6"/>
      <c r="B77" s="201" t="s">
        <v>27</v>
      </c>
      <c r="C77" s="202"/>
      <c r="D77" s="203"/>
      <c r="E77" s="11"/>
      <c r="F77" s="184">
        <f>SUM(F78:F90)</f>
        <v>194580</v>
      </c>
      <c r="G77" s="6"/>
      <c r="H77" s="6"/>
      <c r="I77" s="6"/>
      <c r="J77" s="6"/>
      <c r="K77" s="6"/>
      <c r="L77" s="6"/>
      <c r="M77" s="6"/>
      <c r="N77" s="6"/>
      <c r="O77" s="6"/>
      <c r="P77" s="6"/>
      <c r="Q77" s="6"/>
      <c r="R77" s="6"/>
      <c r="S77" s="6"/>
      <c r="T77" s="6"/>
      <c r="U77" s="6"/>
      <c r="V77" s="6"/>
      <c r="W77" s="6"/>
      <c r="X77" s="6"/>
      <c r="Y77" s="6"/>
      <c r="Z77" s="6"/>
    </row>
    <row r="78" ht="45.0" customHeight="1">
      <c r="A78" s="6"/>
      <c r="B78" s="142"/>
      <c r="C78" s="185" t="s">
        <v>69</v>
      </c>
      <c r="D78" s="186"/>
      <c r="E78" s="204" t="s">
        <v>368</v>
      </c>
      <c r="F78" s="188">
        <f>SUMIF('EXTERIOR &amp; ADD-ONS'!$B$3:$F$20,C78,'EXTERIOR &amp; ADD-ONS'!$F$3:$F$20)</f>
        <v>66000</v>
      </c>
      <c r="G78" s="189"/>
      <c r="H78" s="6"/>
      <c r="I78" s="6"/>
      <c r="J78" s="6"/>
      <c r="K78" s="6"/>
      <c r="L78" s="6"/>
      <c r="M78" s="6"/>
      <c r="N78" s="6"/>
      <c r="O78" s="6"/>
      <c r="P78" s="6"/>
      <c r="Q78" s="6"/>
      <c r="R78" s="6"/>
      <c r="S78" s="6"/>
      <c r="T78" s="6"/>
      <c r="U78" s="6"/>
      <c r="V78" s="6"/>
      <c r="W78" s="6"/>
      <c r="X78" s="6"/>
      <c r="Y78" s="6"/>
      <c r="Z78" s="6"/>
    </row>
    <row r="79" ht="45.0" customHeight="1">
      <c r="A79" s="6"/>
      <c r="B79" s="190"/>
      <c r="C79" s="191" t="s">
        <v>369</v>
      </c>
      <c r="D79" s="192"/>
      <c r="E79" s="205"/>
      <c r="F79" s="194">
        <f>SUMIF('EXTERIOR &amp; ADD-ONS'!$B$3:$F$20,C79,'EXTERIOR &amp; ADD-ONS'!$F$3:$F$20)</f>
        <v>0</v>
      </c>
      <c r="G79" s="195"/>
      <c r="H79" s="6"/>
      <c r="I79" s="6"/>
      <c r="J79" s="6"/>
      <c r="K79" s="6"/>
      <c r="L79" s="6"/>
      <c r="M79" s="6"/>
      <c r="N79" s="6"/>
      <c r="O79" s="6"/>
      <c r="P79" s="6"/>
      <c r="Q79" s="6"/>
      <c r="R79" s="6"/>
      <c r="S79" s="6"/>
      <c r="T79" s="6"/>
      <c r="U79" s="6"/>
      <c r="V79" s="6"/>
      <c r="W79" s="6"/>
      <c r="X79" s="6"/>
      <c r="Y79" s="6"/>
      <c r="Z79" s="6"/>
    </row>
    <row r="80" ht="45.0" customHeight="1">
      <c r="A80" s="6"/>
      <c r="B80" s="190"/>
      <c r="C80" s="191" t="s">
        <v>370</v>
      </c>
      <c r="D80" s="192"/>
      <c r="E80" s="205"/>
      <c r="F80" s="194">
        <f>SUMIF('EXTERIOR &amp; ADD-ONS'!$B$3:$F$20,C80,'EXTERIOR &amp; ADD-ONS'!$F$3:$F$20)</f>
        <v>0</v>
      </c>
      <c r="G80" s="195"/>
      <c r="H80" s="6"/>
      <c r="I80" s="6"/>
      <c r="J80" s="6"/>
      <c r="K80" s="6"/>
      <c r="L80" s="6"/>
      <c r="M80" s="6"/>
      <c r="N80" s="6"/>
      <c r="O80" s="6"/>
      <c r="P80" s="6"/>
      <c r="Q80" s="6"/>
      <c r="R80" s="6"/>
      <c r="S80" s="6"/>
      <c r="T80" s="6"/>
      <c r="U80" s="6"/>
      <c r="V80" s="6"/>
      <c r="W80" s="6"/>
      <c r="X80" s="6"/>
      <c r="Y80" s="6"/>
      <c r="Z80" s="6"/>
    </row>
    <row r="81" ht="45.0" customHeight="1">
      <c r="A81" s="6"/>
      <c r="B81" s="190"/>
      <c r="C81" s="191" t="s">
        <v>272</v>
      </c>
      <c r="D81" s="192"/>
      <c r="E81" s="205" t="s">
        <v>368</v>
      </c>
      <c r="F81" s="194">
        <f>SUMIF('EXTERIOR &amp; ADD-ONS'!$B$3:$F$20,C81,'EXTERIOR &amp; ADD-ONS'!$F$3:$F$20)</f>
        <v>12600</v>
      </c>
      <c r="G81" s="195"/>
      <c r="H81" s="6"/>
      <c r="I81" s="6"/>
      <c r="J81" s="6"/>
      <c r="K81" s="6"/>
      <c r="L81" s="6"/>
      <c r="M81" s="6"/>
      <c r="N81" s="6"/>
      <c r="O81" s="6"/>
      <c r="P81" s="6"/>
      <c r="Q81" s="6"/>
      <c r="R81" s="6"/>
      <c r="S81" s="6"/>
      <c r="T81" s="6"/>
      <c r="U81" s="6"/>
      <c r="V81" s="6"/>
      <c r="W81" s="6"/>
      <c r="X81" s="6"/>
      <c r="Y81" s="6"/>
      <c r="Z81" s="6"/>
    </row>
    <row r="82" ht="45.0" customHeight="1">
      <c r="A82" s="6"/>
      <c r="B82" s="190"/>
      <c r="C82" s="191" t="s">
        <v>276</v>
      </c>
      <c r="D82" s="192"/>
      <c r="E82" s="205" t="s">
        <v>368</v>
      </c>
      <c r="F82" s="194">
        <f>SUMIF('EXTERIOR &amp; ADD-ONS'!$B$3:$F$20,C82,'EXTERIOR &amp; ADD-ONS'!$F$3:$F$20)</f>
        <v>12000</v>
      </c>
      <c r="G82" s="195"/>
      <c r="H82" s="6"/>
      <c r="I82" s="6"/>
      <c r="J82" s="6"/>
      <c r="K82" s="6"/>
      <c r="L82" s="6"/>
      <c r="M82" s="6"/>
      <c r="N82" s="6"/>
      <c r="O82" s="6"/>
      <c r="P82" s="6"/>
      <c r="Q82" s="6"/>
      <c r="R82" s="6"/>
      <c r="S82" s="6"/>
      <c r="T82" s="6"/>
      <c r="U82" s="6"/>
      <c r="V82" s="6"/>
      <c r="W82" s="6"/>
      <c r="X82" s="6"/>
      <c r="Y82" s="6"/>
      <c r="Z82" s="6"/>
    </row>
    <row r="83" ht="45.0" customHeight="1">
      <c r="A83" s="6"/>
      <c r="B83" s="190"/>
      <c r="C83" s="191" t="s">
        <v>279</v>
      </c>
      <c r="D83" s="192"/>
      <c r="E83" s="205" t="s">
        <v>368</v>
      </c>
      <c r="F83" s="194">
        <f>SUMIF('EXTERIOR &amp; ADD-ONS'!$B$3:$F$20,C83,'EXTERIOR &amp; ADD-ONS'!$F$3:$F$20)</f>
        <v>19980</v>
      </c>
      <c r="G83" s="195"/>
      <c r="H83" s="6"/>
      <c r="I83" s="6"/>
      <c r="J83" s="6"/>
      <c r="K83" s="6"/>
      <c r="L83" s="6"/>
      <c r="M83" s="6"/>
      <c r="N83" s="6"/>
      <c r="O83" s="6"/>
      <c r="P83" s="6"/>
      <c r="Q83" s="6"/>
      <c r="R83" s="6"/>
      <c r="S83" s="6"/>
      <c r="T83" s="6"/>
      <c r="U83" s="6"/>
      <c r="V83" s="6"/>
      <c r="W83" s="6"/>
      <c r="X83" s="6"/>
      <c r="Y83" s="6"/>
      <c r="Z83" s="6"/>
    </row>
    <row r="84" ht="45.0" customHeight="1">
      <c r="A84" s="6"/>
      <c r="B84" s="190"/>
      <c r="C84" s="191" t="s">
        <v>371</v>
      </c>
      <c r="D84" s="207"/>
      <c r="E84" s="205"/>
      <c r="F84" s="194">
        <f>SUMIF('EXTERIOR &amp; ADD-ONS'!$B$3:$F$20,C84,'EXTERIOR &amp; ADD-ONS'!$F$3:$F$20)</f>
        <v>0</v>
      </c>
      <c r="G84" s="195"/>
      <c r="H84" s="6"/>
      <c r="I84" s="6"/>
      <c r="J84" s="6"/>
      <c r="K84" s="6"/>
      <c r="L84" s="6"/>
      <c r="M84" s="6"/>
      <c r="N84" s="6"/>
      <c r="O84" s="6"/>
      <c r="P84" s="6"/>
      <c r="Q84" s="6"/>
      <c r="R84" s="6"/>
      <c r="S84" s="6"/>
      <c r="T84" s="6"/>
      <c r="U84" s="6"/>
      <c r="V84" s="6"/>
      <c r="W84" s="6"/>
      <c r="X84" s="6"/>
      <c r="Y84" s="6"/>
      <c r="Z84" s="6"/>
    </row>
    <row r="85" ht="45.0" customHeight="1">
      <c r="A85" s="6"/>
      <c r="B85" s="190"/>
      <c r="C85" s="191" t="s">
        <v>70</v>
      </c>
      <c r="D85" s="207"/>
      <c r="E85" s="205" t="s">
        <v>368</v>
      </c>
      <c r="F85" s="194">
        <f>'EXTERIOR &amp; ADD-ONS'!F10</f>
        <v>48000</v>
      </c>
      <c r="G85" s="195"/>
      <c r="H85" s="6"/>
      <c r="I85" s="6"/>
      <c r="J85" s="6"/>
      <c r="K85" s="6"/>
      <c r="L85" s="6"/>
      <c r="M85" s="6"/>
      <c r="N85" s="6"/>
      <c r="O85" s="6"/>
      <c r="P85" s="6"/>
      <c r="Q85" s="6"/>
      <c r="R85" s="6"/>
      <c r="S85" s="6"/>
      <c r="T85" s="6"/>
      <c r="U85" s="6"/>
      <c r="V85" s="6"/>
      <c r="W85" s="6"/>
      <c r="X85" s="6"/>
      <c r="Y85" s="6"/>
      <c r="Z85" s="6"/>
    </row>
    <row r="86" ht="45.0" customHeight="1">
      <c r="A86" s="6"/>
      <c r="B86" s="190"/>
      <c r="C86" s="191" t="s">
        <v>282</v>
      </c>
      <c r="D86" s="207"/>
      <c r="E86" s="205" t="s">
        <v>368</v>
      </c>
      <c r="F86" s="194">
        <f>'EXTERIOR &amp; ADD-ONS'!F8</f>
        <v>30000</v>
      </c>
      <c r="G86" s="195"/>
      <c r="H86" s="6"/>
      <c r="I86" s="6"/>
      <c r="J86" s="6"/>
      <c r="K86" s="6"/>
      <c r="L86" s="6"/>
      <c r="M86" s="6"/>
      <c r="N86" s="6"/>
      <c r="O86" s="6"/>
      <c r="P86" s="6"/>
      <c r="Q86" s="6"/>
      <c r="R86" s="6"/>
      <c r="S86" s="6"/>
      <c r="T86" s="6"/>
      <c r="U86" s="6"/>
      <c r="V86" s="6"/>
      <c r="W86" s="6"/>
      <c r="X86" s="6"/>
      <c r="Y86" s="6"/>
      <c r="Z86" s="6"/>
    </row>
    <row r="87" ht="45.0" customHeight="1">
      <c r="A87" s="6"/>
      <c r="B87" s="190"/>
      <c r="C87" s="191" t="s">
        <v>286</v>
      </c>
      <c r="D87" s="207"/>
      <c r="E87" s="205" t="s">
        <v>368</v>
      </c>
      <c r="F87" s="194">
        <f>SUMIF('EXTERIOR &amp; ADD-ONS'!$B$3:$F$20,C87,'EXTERIOR &amp; ADD-ONS'!$F$3:$F$20)</f>
        <v>6000</v>
      </c>
      <c r="G87" s="195"/>
      <c r="H87" s="6"/>
      <c r="I87" s="6"/>
      <c r="J87" s="6"/>
      <c r="K87" s="6"/>
      <c r="L87" s="6"/>
      <c r="M87" s="6"/>
      <c r="N87" s="6"/>
      <c r="O87" s="6"/>
      <c r="P87" s="6"/>
      <c r="Q87" s="6"/>
      <c r="R87" s="6"/>
      <c r="S87" s="6"/>
      <c r="T87" s="6"/>
      <c r="U87" s="6"/>
      <c r="V87" s="6"/>
      <c r="W87" s="6"/>
      <c r="X87" s="6"/>
      <c r="Y87" s="6"/>
      <c r="Z87" s="6"/>
    </row>
    <row r="88" ht="45.0" customHeight="1">
      <c r="A88" s="6"/>
      <c r="B88" s="190"/>
      <c r="C88" s="191" t="s">
        <v>372</v>
      </c>
      <c r="D88" s="207"/>
      <c r="E88" s="205"/>
      <c r="F88" s="194">
        <f>SUMIF('EXTERIOR &amp; ADD-ONS'!$B$3:$F$20,C88,'EXTERIOR &amp; ADD-ONS'!$F$3:$F$20)</f>
        <v>0</v>
      </c>
      <c r="G88" s="195"/>
      <c r="H88" s="6"/>
      <c r="I88" s="6"/>
      <c r="J88" s="6"/>
      <c r="K88" s="6"/>
      <c r="L88" s="6"/>
      <c r="M88" s="6"/>
      <c r="N88" s="6"/>
      <c r="O88" s="6"/>
      <c r="P88" s="6"/>
      <c r="Q88" s="6"/>
      <c r="R88" s="6"/>
      <c r="S88" s="6"/>
      <c r="T88" s="6"/>
      <c r="U88" s="6"/>
      <c r="V88" s="6"/>
      <c r="W88" s="6"/>
      <c r="X88" s="6"/>
      <c r="Y88" s="6"/>
      <c r="Z88" s="6"/>
    </row>
    <row r="89" ht="45.0" customHeight="1">
      <c r="A89" s="6"/>
      <c r="B89" s="190"/>
      <c r="C89" s="191" t="s">
        <v>373</v>
      </c>
      <c r="D89" s="207"/>
      <c r="E89" s="205"/>
      <c r="F89" s="194">
        <f>SUMIF('EXTERIOR &amp; ADD-ONS'!$B$3:$F$20,C89,'EXTERIOR &amp; ADD-ONS'!$F$3:$F$20)</f>
        <v>0</v>
      </c>
      <c r="G89" s="195"/>
      <c r="H89" s="6"/>
      <c r="I89" s="6"/>
      <c r="J89" s="6"/>
      <c r="K89" s="6"/>
      <c r="L89" s="6"/>
      <c r="M89" s="6"/>
      <c r="N89" s="6"/>
      <c r="O89" s="6"/>
      <c r="P89" s="6"/>
      <c r="Q89" s="6"/>
      <c r="R89" s="6"/>
      <c r="S89" s="6"/>
      <c r="T89" s="6"/>
      <c r="U89" s="6"/>
      <c r="V89" s="6"/>
      <c r="W89" s="6"/>
      <c r="X89" s="6"/>
      <c r="Y89" s="6"/>
      <c r="Z89" s="6"/>
    </row>
    <row r="90" ht="45.0" customHeight="1">
      <c r="A90" s="6"/>
      <c r="B90" s="146"/>
      <c r="C90" s="196" t="s">
        <v>374</v>
      </c>
      <c r="D90" s="197"/>
      <c r="E90" s="198"/>
      <c r="F90" s="199">
        <f>SUMIF('EXTERIOR &amp; ADD-ONS'!$B$3:$F$20,C90,'EXTERIOR &amp; ADD-ONS'!$F$3:$F$20)</f>
        <v>0</v>
      </c>
      <c r="G90" s="200"/>
      <c r="H90" s="6"/>
      <c r="I90" s="6"/>
      <c r="J90" s="6"/>
      <c r="K90" s="6"/>
      <c r="L90" s="6"/>
      <c r="M90" s="6"/>
      <c r="N90" s="6"/>
      <c r="O90" s="6"/>
      <c r="P90" s="6"/>
      <c r="Q90" s="6"/>
      <c r="R90" s="6"/>
      <c r="S90" s="6"/>
      <c r="T90" s="6"/>
      <c r="U90" s="6"/>
      <c r="V90" s="6"/>
      <c r="W90" s="6"/>
      <c r="X90" s="6"/>
      <c r="Y90" s="6"/>
      <c r="Z90" s="6"/>
    </row>
    <row r="91" ht="56.25" customHeight="1">
      <c r="A91" s="6"/>
      <c r="B91" s="179" t="s">
        <v>333</v>
      </c>
      <c r="H91" s="179"/>
      <c r="I91" s="6"/>
      <c r="J91" s="6"/>
      <c r="K91" s="6"/>
      <c r="L91" s="6"/>
      <c r="M91" s="6"/>
      <c r="N91" s="6"/>
      <c r="O91" s="6"/>
      <c r="P91" s="6"/>
      <c r="Q91" s="6"/>
      <c r="R91" s="6"/>
      <c r="S91" s="6"/>
      <c r="T91" s="6"/>
      <c r="U91" s="6"/>
      <c r="V91" s="6"/>
      <c r="W91" s="6"/>
      <c r="X91" s="6"/>
      <c r="Y91" s="6"/>
      <c r="Z91" s="6"/>
    </row>
    <row r="92" ht="18.75" customHeight="1">
      <c r="A92" s="6"/>
      <c r="B92" s="208"/>
      <c r="C92" s="209"/>
      <c r="D92" s="209"/>
      <c r="E92" s="209"/>
      <c r="F92" s="209"/>
      <c r="G92" s="6"/>
      <c r="H92" s="6"/>
      <c r="I92" s="6"/>
      <c r="J92" s="6"/>
      <c r="K92" s="6"/>
      <c r="L92" s="6"/>
      <c r="M92" s="6"/>
      <c r="N92" s="6"/>
      <c r="O92" s="6"/>
      <c r="P92" s="6"/>
      <c r="Q92" s="6"/>
      <c r="R92" s="6"/>
      <c r="S92" s="6"/>
      <c r="T92" s="6"/>
      <c r="U92" s="6"/>
      <c r="V92" s="6"/>
      <c r="W92" s="6"/>
      <c r="X92" s="6"/>
      <c r="Y92" s="6"/>
      <c r="Z92" s="6"/>
    </row>
    <row r="93" ht="37.5" customHeight="1">
      <c r="A93" s="6"/>
      <c r="B93" s="180" t="s">
        <v>375</v>
      </c>
      <c r="G93" s="6"/>
      <c r="H93" s="6"/>
      <c r="I93" s="6"/>
      <c r="J93" s="6"/>
      <c r="K93" s="6"/>
      <c r="L93" s="6"/>
      <c r="M93" s="6"/>
      <c r="N93" s="6"/>
      <c r="O93" s="6"/>
      <c r="P93" s="6"/>
      <c r="Q93" s="6"/>
      <c r="R93" s="6"/>
      <c r="S93" s="6"/>
      <c r="T93" s="6"/>
      <c r="U93" s="6"/>
      <c r="V93" s="6"/>
      <c r="W93" s="6"/>
      <c r="X93" s="6"/>
      <c r="Y93" s="6"/>
      <c r="Z93" s="6"/>
    </row>
    <row r="94" ht="37.5" customHeight="1">
      <c r="A94" s="6"/>
      <c r="B94" s="208"/>
      <c r="C94" s="209"/>
      <c r="D94" s="209"/>
      <c r="E94" s="209"/>
      <c r="F94" s="209"/>
      <c r="G94" s="6"/>
      <c r="H94" s="6"/>
      <c r="I94" s="6"/>
      <c r="J94" s="6"/>
      <c r="K94" s="6"/>
      <c r="L94" s="6"/>
      <c r="M94" s="6"/>
      <c r="N94" s="6"/>
      <c r="O94" s="6"/>
      <c r="P94" s="6"/>
      <c r="Q94" s="6"/>
      <c r="R94" s="6"/>
      <c r="S94" s="6"/>
      <c r="T94" s="6"/>
      <c r="U94" s="6"/>
      <c r="V94" s="6"/>
      <c r="W94" s="6"/>
      <c r="X94" s="6"/>
      <c r="Y94" s="6"/>
      <c r="Z94" s="6"/>
    </row>
    <row r="95" ht="37.5" customHeight="1">
      <c r="A95" s="6"/>
      <c r="B95" s="208"/>
      <c r="C95" s="209"/>
      <c r="D95" s="209"/>
      <c r="E95" s="209"/>
      <c r="F95" s="209"/>
      <c r="G95" s="6"/>
      <c r="H95" s="6"/>
      <c r="I95" s="6"/>
      <c r="J95" s="6"/>
      <c r="K95" s="6"/>
      <c r="L95" s="6"/>
      <c r="M95" s="6"/>
      <c r="N95" s="6"/>
      <c r="O95" s="6"/>
      <c r="P95" s="6"/>
      <c r="Q95" s="6"/>
      <c r="R95" s="6"/>
      <c r="S95" s="6"/>
      <c r="T95" s="6"/>
      <c r="U95" s="6"/>
      <c r="V95" s="6"/>
      <c r="W95" s="6"/>
      <c r="X95" s="6"/>
      <c r="Y95" s="6"/>
      <c r="Z95" s="6"/>
    </row>
    <row r="96" ht="37.5" customHeight="1">
      <c r="A96" s="11"/>
      <c r="B96" s="210" t="s">
        <v>376</v>
      </c>
      <c r="C96" s="211" t="s">
        <v>377</v>
      </c>
      <c r="G96" s="11"/>
      <c r="H96" s="11"/>
      <c r="I96" s="11"/>
      <c r="J96" s="11"/>
      <c r="K96" s="11"/>
      <c r="L96" s="11"/>
      <c r="M96" s="11"/>
      <c r="N96" s="11"/>
      <c r="O96" s="11"/>
      <c r="P96" s="11"/>
      <c r="Q96" s="11"/>
      <c r="R96" s="11"/>
      <c r="S96" s="11"/>
      <c r="T96" s="11"/>
      <c r="U96" s="11"/>
      <c r="V96" s="11"/>
      <c r="W96" s="11"/>
      <c r="X96" s="11"/>
      <c r="Y96" s="11"/>
      <c r="Z96" s="11"/>
    </row>
    <row r="97" ht="15.0" customHeight="1">
      <c r="A97" s="11"/>
      <c r="B97" s="212"/>
      <c r="C97" s="212"/>
      <c r="D97" s="212"/>
      <c r="E97" s="212"/>
      <c r="F97" s="212"/>
      <c r="G97" s="11"/>
      <c r="H97" s="11"/>
      <c r="I97" s="11"/>
      <c r="J97" s="11"/>
      <c r="K97" s="11"/>
      <c r="L97" s="11"/>
      <c r="M97" s="11"/>
      <c r="N97" s="11"/>
      <c r="O97" s="11"/>
      <c r="P97" s="11"/>
      <c r="Q97" s="11"/>
      <c r="R97" s="11"/>
      <c r="S97" s="11"/>
      <c r="T97" s="11"/>
      <c r="U97" s="11"/>
      <c r="V97" s="11"/>
      <c r="W97" s="11"/>
      <c r="X97" s="11"/>
      <c r="Y97" s="11"/>
      <c r="Z97" s="11"/>
    </row>
    <row r="98" ht="15.75" customHeight="1">
      <c r="A98" s="11"/>
      <c r="B98" s="210" t="s">
        <v>378</v>
      </c>
      <c r="C98" s="211" t="s">
        <v>379</v>
      </c>
      <c r="G98" s="11"/>
      <c r="H98" s="11"/>
      <c r="I98" s="11"/>
      <c r="J98" s="11"/>
      <c r="K98" s="11"/>
      <c r="L98" s="11"/>
      <c r="M98" s="11"/>
      <c r="N98" s="11"/>
      <c r="O98" s="11"/>
      <c r="P98" s="11"/>
      <c r="Q98" s="11"/>
      <c r="R98" s="11"/>
      <c r="S98" s="11"/>
      <c r="T98" s="11"/>
      <c r="U98" s="11"/>
      <c r="V98" s="11"/>
      <c r="W98" s="11"/>
      <c r="X98" s="11"/>
      <c r="Y98" s="11"/>
      <c r="Z98" s="11"/>
    </row>
    <row r="99" ht="15.0" customHeight="1">
      <c r="A99" s="11"/>
      <c r="B99" s="212"/>
      <c r="C99" s="212"/>
      <c r="D99" s="212"/>
      <c r="E99" s="212"/>
      <c r="F99" s="212"/>
      <c r="G99" s="11"/>
      <c r="H99" s="11"/>
      <c r="I99" s="11"/>
      <c r="J99" s="11"/>
      <c r="K99" s="11"/>
      <c r="L99" s="11"/>
      <c r="M99" s="11"/>
      <c r="N99" s="11"/>
      <c r="O99" s="11"/>
      <c r="P99" s="11"/>
      <c r="Q99" s="11"/>
      <c r="R99" s="11"/>
      <c r="S99" s="11"/>
      <c r="T99" s="11"/>
      <c r="U99" s="11"/>
      <c r="V99" s="11"/>
      <c r="W99" s="11"/>
      <c r="X99" s="11"/>
      <c r="Y99" s="11"/>
      <c r="Z99" s="11"/>
    </row>
    <row r="100" ht="15.75" customHeight="1">
      <c r="A100" s="11"/>
      <c r="B100" s="210" t="s">
        <v>380</v>
      </c>
      <c r="C100" s="211" t="s">
        <v>381</v>
      </c>
      <c r="G100" s="11"/>
      <c r="H100" s="11"/>
      <c r="I100" s="11"/>
      <c r="J100" s="11"/>
      <c r="K100" s="11"/>
      <c r="L100" s="11"/>
      <c r="M100" s="11"/>
      <c r="N100" s="11"/>
      <c r="O100" s="11"/>
      <c r="P100" s="11"/>
      <c r="Q100" s="11"/>
      <c r="R100" s="11"/>
      <c r="S100" s="11"/>
      <c r="T100" s="11"/>
      <c r="U100" s="11"/>
      <c r="V100" s="11"/>
      <c r="W100" s="11"/>
      <c r="X100" s="11"/>
      <c r="Y100" s="11"/>
      <c r="Z100" s="11"/>
    </row>
    <row r="101" ht="15.0" customHeight="1">
      <c r="A101" s="11"/>
      <c r="B101" s="212"/>
      <c r="C101" s="212"/>
      <c r="D101" s="212"/>
      <c r="E101" s="212"/>
      <c r="F101" s="212"/>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210" t="s">
        <v>382</v>
      </c>
      <c r="C102" s="211" t="s">
        <v>383</v>
      </c>
      <c r="G102" s="11"/>
      <c r="H102" s="11"/>
      <c r="I102" s="11"/>
      <c r="J102" s="11"/>
      <c r="K102" s="11"/>
      <c r="L102" s="11"/>
      <c r="M102" s="11"/>
      <c r="N102" s="11"/>
      <c r="O102" s="11"/>
      <c r="P102" s="11"/>
      <c r="Q102" s="11"/>
      <c r="R102" s="11"/>
      <c r="S102" s="11"/>
      <c r="T102" s="11"/>
      <c r="U102" s="11"/>
      <c r="V102" s="11"/>
      <c r="W102" s="11"/>
      <c r="X102" s="11"/>
      <c r="Y102" s="11"/>
      <c r="Z102" s="11"/>
    </row>
    <row r="103" ht="15.0" customHeight="1">
      <c r="A103" s="11"/>
      <c r="B103" s="212"/>
      <c r="C103" s="212"/>
      <c r="D103" s="212"/>
      <c r="E103" s="212"/>
      <c r="F103" s="212"/>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210" t="s">
        <v>384</v>
      </c>
      <c r="C104" s="211" t="s">
        <v>385</v>
      </c>
      <c r="G104" s="11"/>
      <c r="H104" s="11"/>
      <c r="I104" s="11"/>
      <c r="J104" s="11"/>
      <c r="K104" s="11"/>
      <c r="L104" s="11"/>
      <c r="M104" s="11"/>
      <c r="N104" s="11"/>
      <c r="O104" s="11"/>
      <c r="P104" s="11"/>
      <c r="Q104" s="11"/>
      <c r="R104" s="11"/>
      <c r="S104" s="11"/>
      <c r="T104" s="11"/>
      <c r="U104" s="11"/>
      <c r="V104" s="11"/>
      <c r="W104" s="11"/>
      <c r="X104" s="11"/>
      <c r="Y104" s="11"/>
      <c r="Z104" s="11"/>
    </row>
    <row r="105" ht="15.0" customHeight="1">
      <c r="A105" s="11"/>
      <c r="B105" s="212"/>
      <c r="C105" s="212"/>
      <c r="D105" s="212"/>
      <c r="E105" s="212"/>
      <c r="F105" s="212"/>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210" t="s">
        <v>386</v>
      </c>
      <c r="C106" s="211" t="s">
        <v>387</v>
      </c>
      <c r="G106" s="11"/>
      <c r="H106" s="11"/>
      <c r="I106" s="11"/>
      <c r="J106" s="11"/>
      <c r="K106" s="11"/>
      <c r="L106" s="11"/>
      <c r="M106" s="11"/>
      <c r="N106" s="11"/>
      <c r="O106" s="11"/>
      <c r="P106" s="11"/>
      <c r="Q106" s="11"/>
      <c r="R106" s="11"/>
      <c r="S106" s="11"/>
      <c r="T106" s="11"/>
      <c r="U106" s="11"/>
      <c r="V106" s="11"/>
      <c r="W106" s="11"/>
      <c r="X106" s="11"/>
      <c r="Y106" s="11"/>
      <c r="Z106" s="11"/>
    </row>
    <row r="107" ht="15.0" customHeight="1">
      <c r="A107" s="11"/>
      <c r="B107" s="212"/>
      <c r="C107" s="212"/>
      <c r="D107" s="212"/>
      <c r="E107" s="212"/>
      <c r="F107" s="212"/>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210" t="s">
        <v>388</v>
      </c>
      <c r="C108" s="211" t="s">
        <v>389</v>
      </c>
      <c r="G108" s="11"/>
      <c r="H108" s="11"/>
      <c r="I108" s="11"/>
      <c r="J108" s="11"/>
      <c r="K108" s="11"/>
      <c r="L108" s="11"/>
      <c r="M108" s="11"/>
      <c r="N108" s="11"/>
      <c r="O108" s="11"/>
      <c r="P108" s="11"/>
      <c r="Q108" s="11"/>
      <c r="R108" s="11"/>
      <c r="S108" s="11"/>
      <c r="T108" s="11"/>
      <c r="U108" s="11"/>
      <c r="V108" s="11"/>
      <c r="W108" s="11"/>
      <c r="X108" s="11"/>
      <c r="Y108" s="11"/>
      <c r="Z108" s="11"/>
    </row>
    <row r="109" ht="15.0" customHeight="1">
      <c r="A109" s="11"/>
      <c r="B109" s="212"/>
      <c r="C109" s="212"/>
      <c r="D109" s="212"/>
      <c r="E109" s="212"/>
      <c r="F109" s="212"/>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210" t="s">
        <v>390</v>
      </c>
      <c r="C110" s="211" t="s">
        <v>391</v>
      </c>
      <c r="G110" s="11"/>
      <c r="H110" s="11"/>
      <c r="I110" s="11"/>
      <c r="J110" s="11"/>
      <c r="K110" s="11"/>
      <c r="L110" s="11"/>
      <c r="M110" s="11"/>
      <c r="N110" s="11"/>
      <c r="O110" s="11"/>
      <c r="P110" s="11"/>
      <c r="Q110" s="11"/>
      <c r="R110" s="11"/>
      <c r="S110" s="11"/>
      <c r="T110" s="11"/>
      <c r="U110" s="11"/>
      <c r="V110" s="11"/>
      <c r="W110" s="11"/>
      <c r="X110" s="11"/>
      <c r="Y110" s="11"/>
      <c r="Z110" s="11"/>
    </row>
    <row r="111" ht="15.0" customHeight="1">
      <c r="A111" s="11"/>
      <c r="B111" s="212"/>
      <c r="C111" s="212"/>
      <c r="D111" s="212"/>
      <c r="E111" s="212"/>
      <c r="F111" s="212"/>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210" t="s">
        <v>392</v>
      </c>
      <c r="C112" s="211" t="s">
        <v>393</v>
      </c>
      <c r="G112" s="11"/>
      <c r="H112" s="11"/>
      <c r="I112" s="11"/>
      <c r="J112" s="11"/>
      <c r="K112" s="11"/>
      <c r="L112" s="11"/>
      <c r="M112" s="11"/>
      <c r="N112" s="11"/>
      <c r="O112" s="11"/>
      <c r="P112" s="11"/>
      <c r="Q112" s="11"/>
      <c r="R112" s="11"/>
      <c r="S112" s="11"/>
      <c r="T112" s="11"/>
      <c r="U112" s="11"/>
      <c r="V112" s="11"/>
      <c r="W112" s="11"/>
      <c r="X112" s="11"/>
      <c r="Y112" s="11"/>
      <c r="Z112" s="11"/>
    </row>
    <row r="113" ht="15.0" customHeight="1">
      <c r="A113" s="11"/>
      <c r="B113" s="212"/>
      <c r="C113" s="212"/>
      <c r="D113" s="212"/>
      <c r="E113" s="212"/>
      <c r="F113" s="212"/>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210" t="s">
        <v>394</v>
      </c>
      <c r="C114" s="211" t="s">
        <v>395</v>
      </c>
      <c r="G114" s="11"/>
      <c r="H114" s="11"/>
      <c r="I114" s="11"/>
      <c r="J114" s="11"/>
      <c r="K114" s="11"/>
      <c r="L114" s="11"/>
      <c r="M114" s="11"/>
      <c r="N114" s="11"/>
      <c r="O114" s="11"/>
      <c r="P114" s="11"/>
      <c r="Q114" s="11"/>
      <c r="R114" s="11"/>
      <c r="S114" s="11"/>
      <c r="T114" s="11"/>
      <c r="U114" s="11"/>
      <c r="V114" s="11"/>
      <c r="W114" s="11"/>
      <c r="X114" s="11"/>
      <c r="Y114" s="11"/>
      <c r="Z114" s="11"/>
    </row>
    <row r="115" ht="15.0" customHeight="1">
      <c r="A115" s="11"/>
      <c r="B115" s="212"/>
      <c r="C115" s="212"/>
      <c r="D115" s="212"/>
      <c r="E115" s="212"/>
      <c r="F115" s="212"/>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210" t="s">
        <v>396</v>
      </c>
      <c r="C116" s="211" t="s">
        <v>397</v>
      </c>
      <c r="G116" s="11"/>
      <c r="H116" s="11"/>
      <c r="I116" s="11"/>
      <c r="J116" s="11"/>
      <c r="K116" s="11"/>
      <c r="L116" s="11"/>
      <c r="M116" s="11"/>
      <c r="N116" s="11"/>
      <c r="O116" s="11"/>
      <c r="P116" s="11"/>
      <c r="Q116" s="11"/>
      <c r="R116" s="11"/>
      <c r="S116" s="11"/>
      <c r="T116" s="11"/>
      <c r="U116" s="11"/>
      <c r="V116" s="11"/>
      <c r="W116" s="11"/>
      <c r="X116" s="11"/>
      <c r="Y116" s="11"/>
      <c r="Z116" s="11"/>
    </row>
    <row r="117" ht="3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7.5" customHeight="1">
      <c r="A121" s="11"/>
      <c r="B121" s="11"/>
      <c r="C121" s="213" t="s">
        <v>398</v>
      </c>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3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3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3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37.5" customHeight="1">
      <c r="A126" s="6"/>
      <c r="B126" s="6"/>
      <c r="C126" s="214" t="str">
        <f>D4</f>
        <v>Benito Colon</v>
      </c>
      <c r="D126" s="215"/>
      <c r="E126" s="215"/>
      <c r="F126" s="6"/>
      <c r="G126" s="6"/>
      <c r="H126" s="6"/>
      <c r="I126" s="6"/>
      <c r="J126" s="6"/>
      <c r="K126" s="6"/>
      <c r="L126" s="6"/>
      <c r="M126" s="6"/>
      <c r="N126" s="6"/>
      <c r="O126" s="6"/>
      <c r="P126" s="6"/>
      <c r="Q126" s="6"/>
      <c r="R126" s="6"/>
      <c r="S126" s="6"/>
      <c r="T126" s="6"/>
      <c r="U126" s="6"/>
      <c r="V126" s="6"/>
      <c r="W126" s="6"/>
      <c r="X126" s="6"/>
      <c r="Y126" s="6"/>
      <c r="Z126" s="6"/>
    </row>
    <row r="127" ht="3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7.5" customHeight="1">
      <c r="A128" s="6"/>
      <c r="B128" s="6"/>
      <c r="H128" s="6"/>
      <c r="I128" s="6"/>
      <c r="J128" s="6"/>
      <c r="K128" s="6"/>
      <c r="L128" s="6"/>
      <c r="M128" s="6"/>
      <c r="N128" s="6"/>
      <c r="O128" s="6"/>
      <c r="P128" s="6"/>
      <c r="Q128" s="6"/>
      <c r="R128" s="6"/>
      <c r="S128" s="6"/>
      <c r="T128" s="6"/>
      <c r="U128" s="6"/>
      <c r="V128" s="6"/>
      <c r="W128" s="6"/>
      <c r="X128" s="6"/>
      <c r="Y128" s="6"/>
      <c r="Z128" s="6"/>
    </row>
    <row r="129" ht="3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2:E2"/>
    <mergeCell ref="D13:F13"/>
    <mergeCell ref="C16:F16"/>
    <mergeCell ref="C18:F18"/>
    <mergeCell ref="C23:F23"/>
    <mergeCell ref="C30:F30"/>
    <mergeCell ref="B32:G32"/>
    <mergeCell ref="B34:F34"/>
    <mergeCell ref="B37:D37"/>
    <mergeCell ref="B45:D45"/>
    <mergeCell ref="B59:G59"/>
    <mergeCell ref="B61:F61"/>
    <mergeCell ref="B64:D64"/>
    <mergeCell ref="B77:D77"/>
    <mergeCell ref="C106:F106"/>
    <mergeCell ref="C108:F108"/>
    <mergeCell ref="C110:F110"/>
    <mergeCell ref="C112:F112"/>
    <mergeCell ref="C114:F114"/>
    <mergeCell ref="C116:F116"/>
    <mergeCell ref="C126:E126"/>
    <mergeCell ref="B128:G128"/>
    <mergeCell ref="B91:G91"/>
    <mergeCell ref="B93:F93"/>
    <mergeCell ref="C96:F96"/>
    <mergeCell ref="C98:F98"/>
    <mergeCell ref="C100:F100"/>
    <mergeCell ref="C102:F102"/>
    <mergeCell ref="C104:F104"/>
  </mergeCells>
  <conditionalFormatting sqref="F78:F90">
    <cfRule type="cellIs" dxfId="3" priority="1" operator="equal">
      <formula>0</formula>
    </cfRule>
  </conditionalFormatting>
  <dataValidations>
    <dataValidation type="list" allowBlank="1" showErrorMessage="1" sqref="E78:E90">
      <formula1>"Upon Permits Approval,Paid,Waiting on Quote,N/A,Projected,Not on Initial Estimate"</formula1>
    </dataValidation>
    <dataValidation type="list" allowBlank="1" sqref="C13">
      <formula1>"Paint by Numbers,Quest,Making a Movie,Lost in the Fog"</formula1>
    </dataValidation>
    <dataValidation type="list" allowBlank="1" showErrorMessage="1" sqref="E38:E42 E46:E49 E51:E54">
      <formula1>"PAID,PENDING,UPON APPROVAL,N/A"</formula1>
    </dataValidation>
    <dataValidation type="list" allowBlank="1" sqref="C16">
      <formula1>DATA!$D$41:$D$42</formula1>
    </dataValidation>
    <dataValidation type="list" allowBlank="1" showErrorMessage="1" sqref="E50">
      <formula1>"PAID,PENDING,UPON APPROVAL,N/A,Ex. Categórica,REA/DEA"</formula1>
    </dataValidation>
    <dataValidation type="list" allowBlank="1" showErrorMessage="1" sqref="E65:E75">
      <formula1>"Phase 1,Phase 2,Phase 3,Phase 4,Phase 5,Phase 1 &amp; 2,Phase 3 &amp; 4"</formula1>
    </dataValidation>
    <dataValidation type="list" allowBlank="1" sqref="D8">
      <formula1>"Enter Version,1,2,3,4,5,6,7,8,9,10,11,12,13,14,15"</formula1>
    </dataValidation>
    <dataValidation type="list" allowBlank="1" sqref="D10">
      <formula1>"Enter Model,M1,M2,L1,L2,L3,mX,mXL"</formula1>
    </dataValidation>
  </dataValidations>
  <printOptions gridLines="1" horizontalCentered="1"/>
  <pageMargins bottom="0.75" footer="0.0" header="0.0" left="0.25" right="0.25" top="0.75"/>
  <pageSetup fitToHeight="0" paperSize="3"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78894"/>
    <outlinePr summaryBelow="0" summaryRight="0"/>
    <pageSetUpPr fitToPage="1"/>
  </sheetPr>
  <sheetViews>
    <sheetView showGridLines="0" workbookViewId="0"/>
  </sheetViews>
  <sheetFormatPr customHeight="1" defaultColWidth="12.63" defaultRowHeight="15.0"/>
  <cols>
    <col customWidth="1" min="1" max="1" width="12.63"/>
    <col customWidth="1" min="2" max="2" width="6.38"/>
    <col customWidth="1" min="3" max="4" width="25.13"/>
    <col customWidth="1" min="5" max="5" width="25.38"/>
    <col customWidth="1" min="6" max="6" width="40.75"/>
    <col customWidth="1" min="7" max="7" width="6.38"/>
  </cols>
  <sheetData>
    <row r="1" ht="15.75" customHeight="1">
      <c r="A1" s="6"/>
      <c r="B1" s="6"/>
      <c r="C1" s="6"/>
      <c r="D1" s="6"/>
      <c r="E1" s="6"/>
      <c r="F1" s="6"/>
      <c r="G1" s="6"/>
      <c r="H1" s="6"/>
      <c r="I1" s="6"/>
      <c r="J1" s="6"/>
      <c r="K1" s="6"/>
      <c r="L1" s="6"/>
      <c r="M1" s="6"/>
      <c r="N1" s="6"/>
      <c r="O1" s="6"/>
      <c r="P1" s="6"/>
      <c r="Q1" s="6"/>
      <c r="R1" s="6"/>
      <c r="S1" s="6"/>
      <c r="T1" s="6"/>
      <c r="U1" s="6"/>
      <c r="V1" s="6"/>
      <c r="W1" s="6"/>
      <c r="X1" s="6"/>
      <c r="Y1" s="6"/>
      <c r="Z1" s="6"/>
    </row>
    <row r="2" ht="97.5" customHeight="1">
      <c r="A2" s="6"/>
      <c r="B2" s="130" t="s">
        <v>308</v>
      </c>
      <c r="F2" s="6"/>
      <c r="G2" s="6"/>
      <c r="H2" s="6"/>
      <c r="I2" s="6"/>
      <c r="J2" s="6"/>
      <c r="K2" s="6"/>
      <c r="L2" s="6"/>
      <c r="M2" s="6"/>
      <c r="N2" s="6"/>
      <c r="O2" s="6"/>
      <c r="P2" s="6"/>
      <c r="Q2" s="6"/>
      <c r="R2" s="6"/>
      <c r="S2" s="6"/>
      <c r="T2" s="6"/>
      <c r="U2" s="6"/>
      <c r="V2" s="6"/>
      <c r="W2" s="6"/>
      <c r="X2" s="6"/>
      <c r="Y2" s="6"/>
      <c r="Z2" s="6"/>
    </row>
    <row r="3" ht="37.5" customHeight="1">
      <c r="A3" s="6"/>
      <c r="B3" s="6"/>
      <c r="C3" s="6"/>
      <c r="D3" s="6"/>
      <c r="E3" s="6"/>
      <c r="F3" s="6"/>
      <c r="G3" s="6"/>
      <c r="H3" s="6"/>
      <c r="I3" s="6"/>
      <c r="J3" s="6"/>
      <c r="K3" s="6"/>
      <c r="L3" s="6"/>
      <c r="M3" s="6"/>
      <c r="N3" s="6"/>
      <c r="O3" s="6"/>
      <c r="P3" s="6"/>
      <c r="Q3" s="6"/>
      <c r="R3" s="6"/>
      <c r="S3" s="6"/>
      <c r="T3" s="6"/>
      <c r="U3" s="6"/>
      <c r="V3" s="6"/>
      <c r="W3" s="6"/>
      <c r="X3" s="6"/>
      <c r="Y3" s="6"/>
      <c r="Z3" s="6"/>
    </row>
    <row r="4" ht="37.5" customHeight="1">
      <c r="A4" s="6"/>
      <c r="B4" s="131"/>
      <c r="C4" s="132" t="s">
        <v>309</v>
      </c>
      <c r="D4" s="133" t="s">
        <v>310</v>
      </c>
      <c r="E4" s="34"/>
      <c r="F4" s="134" t="s">
        <v>311</v>
      </c>
      <c r="G4" s="6"/>
      <c r="H4" s="6"/>
      <c r="I4" s="6"/>
      <c r="J4" s="6"/>
      <c r="K4" s="6"/>
      <c r="L4" s="6"/>
      <c r="M4" s="6"/>
      <c r="N4" s="6"/>
      <c r="O4" s="6"/>
      <c r="P4" s="6"/>
      <c r="Q4" s="6"/>
      <c r="R4" s="6"/>
      <c r="S4" s="6"/>
      <c r="T4" s="6"/>
      <c r="U4" s="6"/>
      <c r="V4" s="6"/>
      <c r="W4" s="6"/>
      <c r="X4" s="6"/>
      <c r="Y4" s="6"/>
      <c r="Z4" s="6"/>
    </row>
    <row r="5" ht="15.75" customHeight="1">
      <c r="A5" s="6"/>
      <c r="B5" s="135"/>
      <c r="C5" s="136"/>
      <c r="D5" s="136"/>
      <c r="E5" s="34"/>
      <c r="F5" s="137"/>
      <c r="G5" s="6"/>
      <c r="H5" s="6"/>
      <c r="I5" s="6"/>
      <c r="J5" s="6"/>
      <c r="K5" s="6"/>
      <c r="L5" s="6"/>
      <c r="M5" s="6"/>
      <c r="N5" s="6"/>
      <c r="O5" s="6"/>
      <c r="P5" s="6"/>
      <c r="Q5" s="6"/>
      <c r="R5" s="6"/>
      <c r="S5" s="6"/>
      <c r="T5" s="6"/>
      <c r="U5" s="6"/>
      <c r="V5" s="6"/>
      <c r="W5" s="6"/>
      <c r="X5" s="6"/>
      <c r="Y5" s="6"/>
      <c r="Z5" s="6"/>
    </row>
    <row r="6" ht="37.5" customHeight="1">
      <c r="A6" s="6"/>
      <c r="B6" s="131"/>
      <c r="C6" s="132" t="s">
        <v>312</v>
      </c>
      <c r="D6" s="138">
        <f>TODAY()</f>
        <v>46043</v>
      </c>
      <c r="E6" s="139" t="b">
        <v>1</v>
      </c>
      <c r="F6" s="140" t="s">
        <v>313</v>
      </c>
      <c r="G6" s="6"/>
      <c r="H6" s="6"/>
      <c r="I6" s="6"/>
      <c r="J6" s="6"/>
      <c r="K6" s="6"/>
      <c r="L6" s="6"/>
      <c r="M6" s="6"/>
      <c r="N6" s="6"/>
      <c r="O6" s="6"/>
      <c r="P6" s="6"/>
      <c r="Q6" s="6"/>
      <c r="R6" s="6"/>
      <c r="S6" s="6"/>
      <c r="T6" s="6"/>
      <c r="U6" s="6"/>
      <c r="V6" s="6"/>
      <c r="W6" s="6"/>
      <c r="X6" s="6"/>
      <c r="Y6" s="6"/>
      <c r="Z6" s="6"/>
    </row>
    <row r="7" ht="15.75" customHeight="1">
      <c r="A7" s="6"/>
      <c r="B7" s="135"/>
      <c r="C7" s="141"/>
      <c r="D7" s="136"/>
      <c r="E7" s="139"/>
      <c r="F7" s="137"/>
      <c r="G7" s="6"/>
      <c r="H7" s="6"/>
      <c r="I7" s="6"/>
      <c r="J7" s="6"/>
      <c r="K7" s="6"/>
      <c r="L7" s="6"/>
      <c r="M7" s="6"/>
      <c r="N7" s="6"/>
      <c r="O7" s="6"/>
      <c r="P7" s="6"/>
      <c r="Q7" s="6"/>
      <c r="R7" s="6"/>
      <c r="S7" s="6"/>
      <c r="T7" s="6"/>
      <c r="U7" s="6"/>
      <c r="V7" s="6"/>
      <c r="W7" s="6"/>
      <c r="X7" s="6"/>
      <c r="Y7" s="6"/>
      <c r="Z7" s="6"/>
    </row>
    <row r="8" ht="37.5" customHeight="1">
      <c r="A8" s="6"/>
      <c r="B8" s="131"/>
      <c r="C8" s="132" t="s">
        <v>314</v>
      </c>
      <c r="D8" s="133">
        <v>2.0</v>
      </c>
      <c r="E8" s="139" t="b">
        <v>1</v>
      </c>
      <c r="F8" s="140" t="s">
        <v>315</v>
      </c>
      <c r="G8" s="6"/>
      <c r="H8" s="6"/>
      <c r="I8" s="6"/>
      <c r="J8" s="6"/>
      <c r="K8" s="6"/>
      <c r="L8" s="6"/>
      <c r="M8" s="6"/>
      <c r="N8" s="6"/>
      <c r="O8" s="6"/>
      <c r="P8" s="6"/>
      <c r="Q8" s="6"/>
      <c r="R8" s="6"/>
      <c r="S8" s="6"/>
      <c r="T8" s="6"/>
      <c r="U8" s="6"/>
      <c r="V8" s="6"/>
      <c r="W8" s="6"/>
      <c r="X8" s="6"/>
      <c r="Y8" s="6"/>
      <c r="Z8" s="6"/>
    </row>
    <row r="9" ht="15.75" customHeight="1">
      <c r="A9" s="6"/>
      <c r="B9" s="135"/>
      <c r="C9" s="141"/>
      <c r="D9" s="136"/>
      <c r="E9" s="139"/>
      <c r="F9" s="137"/>
      <c r="G9" s="6"/>
      <c r="H9" s="6"/>
      <c r="I9" s="6"/>
      <c r="J9" s="6"/>
      <c r="K9" s="6"/>
      <c r="L9" s="6"/>
      <c r="M9" s="6"/>
      <c r="N9" s="6"/>
      <c r="O9" s="6"/>
      <c r="P9" s="6"/>
      <c r="Q9" s="6"/>
      <c r="R9" s="6"/>
      <c r="S9" s="6"/>
      <c r="T9" s="6"/>
      <c r="U9" s="6"/>
      <c r="V9" s="6"/>
      <c r="W9" s="6"/>
      <c r="X9" s="6"/>
      <c r="Y9" s="6"/>
      <c r="Z9" s="6"/>
    </row>
    <row r="10" ht="37.5" customHeight="1">
      <c r="A10" s="6"/>
      <c r="B10" s="131"/>
      <c r="C10" s="132" t="s">
        <v>316</v>
      </c>
      <c r="D10" s="133" t="s">
        <v>317</v>
      </c>
      <c r="E10" s="139" t="b">
        <v>0</v>
      </c>
      <c r="F10" s="140" t="s">
        <v>318</v>
      </c>
      <c r="G10" s="6"/>
      <c r="H10" s="6"/>
      <c r="I10" s="6"/>
      <c r="J10" s="6"/>
      <c r="K10" s="6"/>
      <c r="L10" s="6"/>
      <c r="M10" s="6"/>
      <c r="N10" s="6"/>
      <c r="O10" s="6"/>
      <c r="P10" s="6"/>
      <c r="Q10" s="6"/>
      <c r="R10" s="6"/>
      <c r="S10" s="6"/>
      <c r="T10" s="6"/>
      <c r="U10" s="6"/>
      <c r="V10" s="6"/>
      <c r="W10" s="6"/>
      <c r="X10" s="6"/>
      <c r="Y10" s="6"/>
      <c r="Z10" s="6"/>
    </row>
    <row r="11" ht="37.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37.5" customHeight="1">
      <c r="A12" s="6"/>
      <c r="B12" s="142"/>
      <c r="C12" s="143" t="s">
        <v>319</v>
      </c>
      <c r="D12" s="144"/>
      <c r="E12" s="144"/>
      <c r="F12" s="144"/>
      <c r="G12" s="145"/>
      <c r="H12" s="6"/>
      <c r="I12" s="6"/>
      <c r="J12" s="6"/>
      <c r="K12" s="6"/>
      <c r="L12" s="6"/>
      <c r="M12" s="6"/>
      <c r="N12" s="6"/>
      <c r="O12" s="6"/>
      <c r="P12" s="6"/>
      <c r="Q12" s="6"/>
      <c r="R12" s="6"/>
      <c r="S12" s="6"/>
      <c r="T12" s="6"/>
      <c r="U12" s="6"/>
      <c r="V12" s="6"/>
      <c r="W12" s="6"/>
      <c r="X12" s="6"/>
      <c r="Y12" s="6"/>
      <c r="Z12" s="6"/>
    </row>
    <row r="13" ht="56.25" customHeight="1">
      <c r="A13" s="6"/>
      <c r="B13" s="146"/>
      <c r="C13" s="147" t="s">
        <v>83</v>
      </c>
      <c r="D13" s="148" t="str">
        <f>VLOOKUP(C13,DATA!B35:D38,3,FALSE)</f>
        <v>[MEDIUM RISK] KONTi and it's stakeholders are certain about how the project should proceed but not what needs to be done. Further definition may have cost and time overruns.</v>
      </c>
      <c r="E13" s="149"/>
      <c r="F13" s="150"/>
      <c r="G13" s="151"/>
      <c r="H13" s="6"/>
      <c r="I13" s="6"/>
      <c r="J13" s="6"/>
      <c r="K13" s="6"/>
      <c r="L13" s="6"/>
      <c r="M13" s="6"/>
      <c r="N13" s="6"/>
      <c r="O13" s="6"/>
      <c r="P13" s="6"/>
      <c r="Q13" s="6"/>
      <c r="R13" s="6"/>
      <c r="S13" s="6"/>
      <c r="T13" s="6"/>
      <c r="U13" s="6"/>
      <c r="V13" s="6"/>
      <c r="W13" s="6"/>
      <c r="X13" s="6"/>
      <c r="Y13" s="6"/>
      <c r="Z13" s="6"/>
    </row>
    <row r="14" ht="15.75" customHeight="1">
      <c r="A14" s="6"/>
      <c r="B14" s="6"/>
      <c r="C14" s="34"/>
      <c r="D14" s="34"/>
      <c r="E14" s="34"/>
      <c r="F14" s="34"/>
      <c r="G14" s="34"/>
      <c r="H14" s="6"/>
      <c r="I14" s="6"/>
      <c r="J14" s="6"/>
      <c r="K14" s="6"/>
      <c r="L14" s="6"/>
      <c r="M14" s="6"/>
      <c r="N14" s="6"/>
      <c r="O14" s="6"/>
      <c r="P14" s="6"/>
      <c r="Q14" s="6"/>
      <c r="R14" s="6"/>
      <c r="S14" s="6"/>
      <c r="T14" s="6"/>
      <c r="U14" s="6"/>
      <c r="V14" s="6"/>
      <c r="W14" s="6"/>
      <c r="X14" s="6"/>
      <c r="Y14" s="6"/>
      <c r="Z14" s="6"/>
    </row>
    <row r="15" ht="37.5" customHeight="1">
      <c r="A15" s="6"/>
      <c r="B15" s="142"/>
      <c r="C15" s="143" t="s">
        <v>320</v>
      </c>
      <c r="D15" s="144"/>
      <c r="E15" s="144"/>
      <c r="F15" s="144"/>
      <c r="G15" s="145"/>
      <c r="H15" s="6"/>
      <c r="I15" s="6"/>
      <c r="J15" s="6"/>
      <c r="K15" s="6"/>
      <c r="L15" s="6"/>
      <c r="M15" s="6"/>
      <c r="N15" s="6"/>
      <c r="O15" s="6"/>
      <c r="P15" s="6"/>
      <c r="Q15" s="6"/>
      <c r="R15" s="6"/>
      <c r="S15" s="6"/>
      <c r="T15" s="6"/>
      <c r="U15" s="6"/>
      <c r="V15" s="6"/>
      <c r="W15" s="6"/>
      <c r="X15" s="6"/>
      <c r="Y15" s="6"/>
      <c r="Z15" s="6"/>
    </row>
    <row r="16" ht="56.25" customHeight="1">
      <c r="A16" s="6"/>
      <c r="B16" s="146"/>
      <c r="C16" s="152" t="s">
        <v>321</v>
      </c>
      <c r="D16" s="149"/>
      <c r="E16" s="149"/>
      <c r="F16" s="150"/>
      <c r="G16" s="151"/>
      <c r="H16" s="6"/>
      <c r="I16" s="6"/>
      <c r="J16" s="6"/>
      <c r="K16" s="6"/>
      <c r="L16" s="6"/>
      <c r="M16" s="6"/>
      <c r="N16" s="6"/>
      <c r="O16" s="6"/>
      <c r="P16" s="6"/>
      <c r="Q16" s="6"/>
      <c r="R16" s="6"/>
      <c r="S16" s="6"/>
      <c r="T16" s="6"/>
      <c r="U16" s="6"/>
      <c r="V16" s="6"/>
      <c r="W16" s="6"/>
      <c r="X16" s="6"/>
      <c r="Y16" s="6"/>
      <c r="Z16" s="6"/>
    </row>
    <row r="17" ht="3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56.25" customHeight="1">
      <c r="A18" s="6"/>
      <c r="B18" s="153"/>
      <c r="C18" s="154" t="s">
        <v>322</v>
      </c>
      <c r="D18" s="155"/>
      <c r="E18" s="155"/>
      <c r="F18" s="155"/>
      <c r="G18" s="156"/>
      <c r="H18" s="6"/>
      <c r="I18" s="6"/>
      <c r="J18" s="6"/>
      <c r="K18" s="6"/>
      <c r="L18" s="6"/>
      <c r="M18" s="6"/>
      <c r="N18" s="6"/>
      <c r="O18" s="6"/>
      <c r="P18" s="6"/>
      <c r="Q18" s="6"/>
      <c r="R18" s="6"/>
      <c r="S18" s="6"/>
      <c r="T18" s="6"/>
      <c r="U18" s="6"/>
      <c r="V18" s="6"/>
      <c r="W18" s="6"/>
      <c r="X18" s="6"/>
      <c r="Y18" s="6"/>
      <c r="Z18" s="6"/>
    </row>
    <row r="19" ht="37.5" customHeight="1">
      <c r="A19" s="6"/>
      <c r="B19" s="157"/>
      <c r="C19" s="158" t="s">
        <v>323</v>
      </c>
      <c r="D19" s="159"/>
      <c r="E19" s="159"/>
      <c r="F19" s="160">
        <f>SUM(F24:F27)</f>
        <v>492906.3277</v>
      </c>
      <c r="G19" s="161"/>
      <c r="H19" s="6"/>
      <c r="I19" s="6"/>
      <c r="J19" s="6"/>
      <c r="K19" s="6"/>
      <c r="L19" s="6"/>
      <c r="M19" s="6"/>
      <c r="N19" s="6"/>
      <c r="O19" s="6"/>
      <c r="P19" s="6"/>
      <c r="Q19" s="6"/>
      <c r="R19" s="6"/>
      <c r="S19" s="6"/>
      <c r="T19" s="6"/>
      <c r="U19" s="6"/>
      <c r="V19" s="6"/>
      <c r="W19" s="6"/>
      <c r="X19" s="6"/>
      <c r="Y19" s="6"/>
      <c r="Z19" s="6"/>
    </row>
    <row r="20" ht="37.5" customHeight="1">
      <c r="A20" s="6"/>
      <c r="B20" s="157"/>
      <c r="C20" s="158" t="s">
        <v>324</v>
      </c>
      <c r="D20" s="159"/>
      <c r="E20" s="159"/>
      <c r="F20" s="162">
        <f>SUMIF(E38:G90,"Paid",F38:F90)</f>
        <v>36149</v>
      </c>
      <c r="G20" s="161"/>
      <c r="H20" s="6"/>
      <c r="I20" s="6"/>
      <c r="J20" s="6"/>
      <c r="K20" s="6"/>
      <c r="L20" s="6"/>
      <c r="M20" s="6"/>
      <c r="N20" s="6"/>
      <c r="O20" s="6"/>
      <c r="P20" s="6"/>
      <c r="Q20" s="6"/>
      <c r="R20" s="6"/>
      <c r="S20" s="6"/>
      <c r="T20" s="6"/>
      <c r="U20" s="6"/>
      <c r="V20" s="6"/>
      <c r="W20" s="6"/>
      <c r="X20" s="6"/>
      <c r="Y20" s="6"/>
      <c r="Z20" s="6"/>
    </row>
    <row r="21" ht="37.5" customHeight="1">
      <c r="A21" s="6"/>
      <c r="B21" s="163"/>
      <c r="C21" s="164" t="s">
        <v>325</v>
      </c>
      <c r="D21" s="165"/>
      <c r="E21" s="165"/>
      <c r="F21" s="166">
        <f>F19-F20</f>
        <v>456757.3277</v>
      </c>
      <c r="G21" s="167"/>
      <c r="H21" s="6"/>
      <c r="I21" s="6"/>
      <c r="J21" s="6"/>
      <c r="K21" s="6"/>
      <c r="L21" s="6"/>
      <c r="M21" s="6"/>
      <c r="N21" s="6"/>
      <c r="O21" s="6"/>
      <c r="P21" s="6"/>
      <c r="Q21" s="6"/>
      <c r="R21" s="6"/>
      <c r="S21" s="6"/>
      <c r="T21" s="6"/>
      <c r="U21" s="6"/>
      <c r="V21" s="6"/>
      <c r="W21" s="6"/>
      <c r="X21" s="6"/>
      <c r="Y21" s="6"/>
      <c r="Z21" s="6"/>
    </row>
    <row r="22" ht="37.5" customHeight="1">
      <c r="A22" s="6"/>
      <c r="B22" s="6"/>
      <c r="C22" s="168"/>
      <c r="D22" s="11"/>
      <c r="E22" s="169"/>
      <c r="F22" s="11"/>
      <c r="G22" s="6"/>
      <c r="H22" s="6"/>
      <c r="I22" s="6"/>
      <c r="J22" s="6"/>
      <c r="K22" s="6"/>
      <c r="L22" s="6"/>
      <c r="M22" s="6"/>
      <c r="N22" s="6"/>
      <c r="O22" s="6"/>
      <c r="P22" s="6"/>
      <c r="Q22" s="6"/>
      <c r="R22" s="6"/>
      <c r="S22" s="6"/>
      <c r="T22" s="6"/>
      <c r="U22" s="6"/>
      <c r="V22" s="6"/>
      <c r="W22" s="6"/>
      <c r="X22" s="6"/>
      <c r="Y22" s="6"/>
      <c r="Z22" s="6"/>
    </row>
    <row r="23" ht="56.25" customHeight="1">
      <c r="A23" s="6"/>
      <c r="B23" s="153"/>
      <c r="C23" s="154" t="s">
        <v>326</v>
      </c>
      <c r="D23" s="155"/>
      <c r="E23" s="155"/>
      <c r="F23" s="155"/>
      <c r="G23" s="156"/>
      <c r="H23" s="6"/>
      <c r="I23" s="6"/>
      <c r="J23" s="6"/>
      <c r="K23" s="6"/>
      <c r="L23" s="6"/>
      <c r="M23" s="6"/>
      <c r="N23" s="6"/>
      <c r="O23" s="6"/>
      <c r="P23" s="6"/>
      <c r="Q23" s="6"/>
      <c r="R23" s="6"/>
      <c r="S23" s="6"/>
      <c r="T23" s="6"/>
      <c r="U23" s="6"/>
      <c r="V23" s="6"/>
      <c r="W23" s="6"/>
      <c r="X23" s="6"/>
      <c r="Y23" s="6"/>
      <c r="Z23" s="6"/>
    </row>
    <row r="24" ht="37.5" customHeight="1">
      <c r="A24" s="6"/>
      <c r="B24" s="157"/>
      <c r="C24" s="170" t="s">
        <v>327</v>
      </c>
      <c r="D24" s="171"/>
      <c r="E24" s="171"/>
      <c r="F24" s="172">
        <f>F37</f>
        <v>33899</v>
      </c>
      <c r="G24" s="161"/>
      <c r="H24" s="6"/>
      <c r="I24" s="6"/>
      <c r="J24" s="6"/>
      <c r="K24" s="6"/>
      <c r="L24" s="6"/>
      <c r="M24" s="6"/>
      <c r="N24" s="6"/>
      <c r="O24" s="6"/>
      <c r="P24" s="6"/>
      <c r="Q24" s="6"/>
      <c r="R24" s="6"/>
      <c r="S24" s="6"/>
      <c r="T24" s="6"/>
      <c r="U24" s="6"/>
      <c r="V24" s="6"/>
      <c r="W24" s="6"/>
      <c r="X24" s="6"/>
      <c r="Y24" s="6"/>
      <c r="Z24" s="6"/>
    </row>
    <row r="25" ht="37.5" customHeight="1">
      <c r="A25" s="6"/>
      <c r="B25" s="157"/>
      <c r="C25" s="170" t="s">
        <v>328</v>
      </c>
      <c r="D25" s="171"/>
      <c r="E25" s="171"/>
      <c r="F25" s="172">
        <f>F45</f>
        <v>32529.66623</v>
      </c>
      <c r="G25" s="161"/>
      <c r="H25" s="6"/>
      <c r="I25" s="6"/>
      <c r="J25" s="6"/>
      <c r="K25" s="6"/>
      <c r="L25" s="6"/>
      <c r="M25" s="6"/>
      <c r="N25" s="6"/>
      <c r="O25" s="6"/>
      <c r="P25" s="6"/>
      <c r="Q25" s="6"/>
      <c r="R25" s="6"/>
      <c r="S25" s="6"/>
      <c r="T25" s="6"/>
      <c r="U25" s="6"/>
      <c r="V25" s="6"/>
      <c r="W25" s="6"/>
      <c r="X25" s="6"/>
      <c r="Y25" s="6"/>
      <c r="Z25" s="6"/>
    </row>
    <row r="26" ht="37.5" customHeight="1">
      <c r="A26" s="6"/>
      <c r="B26" s="157"/>
      <c r="C26" s="170" t="s">
        <v>399</v>
      </c>
      <c r="D26" s="171"/>
      <c r="E26" s="171"/>
      <c r="F26" s="172">
        <f>F64</f>
        <v>261897.6615</v>
      </c>
      <c r="G26" s="161"/>
      <c r="H26" s="6"/>
      <c r="I26" s="6"/>
      <c r="J26" s="6"/>
      <c r="K26" s="6"/>
      <c r="L26" s="6"/>
      <c r="M26" s="6"/>
      <c r="N26" s="6"/>
      <c r="O26" s="6"/>
      <c r="P26" s="6"/>
      <c r="Q26" s="6"/>
      <c r="R26" s="6"/>
      <c r="S26" s="6"/>
      <c r="T26" s="6"/>
      <c r="U26" s="6"/>
      <c r="V26" s="6"/>
      <c r="W26" s="6"/>
      <c r="X26" s="6"/>
      <c r="Y26" s="6"/>
      <c r="Z26" s="6"/>
    </row>
    <row r="27" ht="37.5" customHeight="1">
      <c r="A27" s="6"/>
      <c r="B27" s="157"/>
      <c r="C27" s="170" t="s">
        <v>330</v>
      </c>
      <c r="D27" s="171"/>
      <c r="E27" s="171"/>
      <c r="F27" s="172">
        <f>F77</f>
        <v>164580</v>
      </c>
      <c r="G27" s="161"/>
      <c r="H27" s="6"/>
      <c r="I27" s="6"/>
      <c r="J27" s="6"/>
      <c r="K27" s="6"/>
      <c r="L27" s="6"/>
      <c r="M27" s="6"/>
      <c r="N27" s="6"/>
      <c r="O27" s="6"/>
      <c r="P27" s="6"/>
      <c r="Q27" s="6"/>
      <c r="R27" s="6"/>
      <c r="S27" s="6"/>
      <c r="T27" s="6"/>
      <c r="U27" s="6"/>
      <c r="V27" s="6"/>
      <c r="W27" s="6"/>
      <c r="X27" s="6"/>
      <c r="Y27" s="6"/>
      <c r="Z27" s="6"/>
    </row>
    <row r="28" ht="37.5" customHeight="1">
      <c r="A28" s="6"/>
      <c r="B28" s="157"/>
      <c r="C28" s="173"/>
      <c r="D28" s="34"/>
      <c r="E28" s="34"/>
      <c r="F28" s="174"/>
      <c r="G28" s="161"/>
      <c r="H28" s="6"/>
      <c r="I28" s="6"/>
      <c r="J28" s="6"/>
      <c r="K28" s="6"/>
      <c r="L28" s="6"/>
      <c r="M28" s="6"/>
      <c r="N28" s="6"/>
      <c r="O28" s="6"/>
      <c r="P28" s="6"/>
      <c r="Q28" s="6"/>
      <c r="R28" s="6"/>
      <c r="S28" s="6"/>
      <c r="T28" s="6"/>
      <c r="U28" s="6"/>
      <c r="V28" s="6"/>
      <c r="W28" s="6"/>
      <c r="X28" s="6"/>
      <c r="Y28" s="6"/>
      <c r="Z28" s="6"/>
    </row>
    <row r="29" ht="37.5" customHeight="1">
      <c r="A29" s="6"/>
      <c r="B29" s="157"/>
      <c r="C29" s="175" t="s">
        <v>331</v>
      </c>
      <c r="D29" s="34"/>
      <c r="E29" s="34"/>
      <c r="F29" s="176">
        <f>IFERROR(SUM(F26:F27)*(DATA!C23-1),"-")</f>
        <v>63971.64923</v>
      </c>
      <c r="G29" s="161"/>
      <c r="H29" s="6"/>
      <c r="I29" s="6"/>
      <c r="J29" s="6"/>
      <c r="K29" s="6"/>
      <c r="L29" s="6"/>
      <c r="M29" s="6"/>
      <c r="N29" s="6"/>
      <c r="O29" s="6"/>
      <c r="P29" s="6"/>
      <c r="Q29" s="6"/>
      <c r="R29" s="6"/>
      <c r="S29" s="6"/>
      <c r="T29" s="6"/>
      <c r="U29" s="6"/>
      <c r="V29" s="6"/>
      <c r="W29" s="6"/>
      <c r="X29" s="6"/>
      <c r="Y29" s="6"/>
      <c r="Z29" s="6"/>
    </row>
    <row r="30" ht="105.0" customHeight="1">
      <c r="A30" s="6"/>
      <c r="B30" s="163"/>
      <c r="C30" s="177" t="s">
        <v>400</v>
      </c>
      <c r="D30" s="178"/>
      <c r="E30" s="178"/>
      <c r="F30" s="178"/>
      <c r="G30" s="167"/>
      <c r="H30" s="6"/>
      <c r="I30" s="6"/>
      <c r="J30" s="6"/>
      <c r="K30" s="6"/>
      <c r="L30" s="6"/>
      <c r="M30" s="6"/>
      <c r="N30" s="6"/>
      <c r="O30" s="6"/>
      <c r="P30" s="6"/>
      <c r="Q30" s="6"/>
      <c r="R30" s="6"/>
      <c r="S30" s="6"/>
      <c r="T30" s="6"/>
      <c r="U30" s="6"/>
      <c r="V30" s="6"/>
      <c r="W30" s="6"/>
      <c r="X30" s="6"/>
      <c r="Y30" s="6"/>
      <c r="Z30" s="6"/>
    </row>
    <row r="31" ht="75.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37.5" customHeight="1">
      <c r="A32" s="6"/>
      <c r="B32" s="179" t="s">
        <v>333</v>
      </c>
      <c r="H32" s="6"/>
      <c r="I32" s="6"/>
      <c r="J32" s="6"/>
      <c r="K32" s="6"/>
      <c r="L32" s="6"/>
      <c r="M32" s="6"/>
      <c r="N32" s="6"/>
      <c r="O32" s="6"/>
      <c r="P32" s="6"/>
      <c r="Q32" s="6"/>
      <c r="R32" s="6"/>
      <c r="S32" s="6"/>
      <c r="T32" s="6"/>
      <c r="U32" s="6"/>
      <c r="V32" s="6"/>
      <c r="W32" s="6"/>
      <c r="X32" s="6"/>
      <c r="Y32" s="6"/>
      <c r="Z32" s="6"/>
    </row>
    <row r="33" ht="18.75" customHeight="1">
      <c r="A33" s="6"/>
      <c r="B33" s="6"/>
      <c r="D33" s="6"/>
      <c r="E33" s="6"/>
      <c r="F33" s="6"/>
      <c r="G33" s="6"/>
      <c r="H33" s="6"/>
      <c r="I33" s="6"/>
      <c r="J33" s="6"/>
      <c r="K33" s="6"/>
      <c r="L33" s="6"/>
      <c r="M33" s="6"/>
      <c r="N33" s="6"/>
      <c r="O33" s="6"/>
      <c r="P33" s="6"/>
      <c r="Q33" s="6"/>
      <c r="R33" s="6"/>
      <c r="S33" s="6"/>
      <c r="T33" s="6"/>
      <c r="U33" s="6"/>
      <c r="V33" s="6"/>
      <c r="W33" s="6"/>
      <c r="X33" s="6"/>
      <c r="Y33" s="6"/>
      <c r="Z33" s="6"/>
    </row>
    <row r="34" ht="37.5" customHeight="1">
      <c r="A34" s="6"/>
      <c r="B34" s="180" t="s">
        <v>334</v>
      </c>
      <c r="G34" s="6"/>
      <c r="H34" s="6"/>
      <c r="I34" s="6"/>
      <c r="J34" s="6"/>
      <c r="K34" s="6"/>
      <c r="L34" s="6"/>
      <c r="M34" s="6"/>
      <c r="N34" s="6"/>
      <c r="O34" s="6"/>
      <c r="P34" s="6"/>
      <c r="Q34" s="6"/>
      <c r="R34" s="6"/>
      <c r="S34" s="6"/>
      <c r="T34" s="6"/>
      <c r="U34" s="6"/>
      <c r="V34" s="6"/>
      <c r="W34" s="6"/>
      <c r="X34" s="6"/>
      <c r="Y34" s="6"/>
      <c r="Z34" s="6"/>
    </row>
    <row r="35" ht="56.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56.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7.5" customHeight="1">
      <c r="A37" s="6"/>
      <c r="B37" s="181" t="s">
        <v>47</v>
      </c>
      <c r="C37" s="182"/>
      <c r="D37" s="183"/>
      <c r="E37" s="11"/>
      <c r="F37" s="184">
        <f>SUM(F38:F42)</f>
        <v>33899</v>
      </c>
      <c r="G37" s="6"/>
      <c r="H37" s="6"/>
      <c r="I37" s="6"/>
      <c r="J37" s="6"/>
      <c r="K37" s="6"/>
      <c r="L37" s="6"/>
      <c r="M37" s="6"/>
      <c r="N37" s="6"/>
      <c r="O37" s="6"/>
      <c r="P37" s="6"/>
      <c r="Q37" s="6"/>
      <c r="R37" s="6"/>
      <c r="S37" s="6"/>
      <c r="T37" s="6"/>
      <c r="U37" s="6"/>
      <c r="V37" s="6"/>
      <c r="W37" s="6"/>
      <c r="X37" s="6"/>
      <c r="Y37" s="6"/>
      <c r="Z37" s="6"/>
    </row>
    <row r="38" ht="56.25" customHeight="1">
      <c r="A38" s="6"/>
      <c r="B38" s="142"/>
      <c r="C38" s="185" t="s">
        <v>335</v>
      </c>
      <c r="D38" s="186"/>
      <c r="E38" s="187" t="s">
        <v>336</v>
      </c>
      <c r="F38" s="188">
        <f>DATA!C3</f>
        <v>26500</v>
      </c>
      <c r="G38" s="189"/>
      <c r="H38" s="6"/>
      <c r="I38" s="6"/>
      <c r="J38" s="6"/>
      <c r="K38" s="6"/>
      <c r="L38" s="6"/>
      <c r="M38" s="6"/>
      <c r="N38" s="6"/>
      <c r="O38" s="6"/>
      <c r="P38" s="6"/>
      <c r="Q38" s="6"/>
      <c r="R38" s="6"/>
      <c r="S38" s="6"/>
      <c r="T38" s="6"/>
      <c r="U38" s="6"/>
      <c r="V38" s="6"/>
      <c r="W38" s="6"/>
      <c r="X38" s="6"/>
      <c r="Y38" s="6"/>
      <c r="Z38" s="6"/>
    </row>
    <row r="39" ht="56.25" customHeight="1">
      <c r="A39" s="6"/>
      <c r="B39" s="190"/>
      <c r="C39" s="191" t="s">
        <v>337</v>
      </c>
      <c r="D39" s="192"/>
      <c r="E39" s="193" t="s">
        <v>336</v>
      </c>
      <c r="F39" s="194">
        <f>DATA!C4</f>
        <v>5179</v>
      </c>
      <c r="G39" s="195"/>
      <c r="H39" s="6"/>
      <c r="I39" s="6"/>
      <c r="J39" s="6"/>
      <c r="K39" s="6"/>
      <c r="L39" s="6"/>
      <c r="M39" s="6"/>
      <c r="N39" s="6"/>
      <c r="O39" s="6"/>
      <c r="P39" s="6"/>
      <c r="Q39" s="6"/>
      <c r="R39" s="6"/>
      <c r="S39" s="6"/>
      <c r="T39" s="6"/>
      <c r="U39" s="6"/>
      <c r="V39" s="6"/>
      <c r="W39" s="6"/>
      <c r="X39" s="6"/>
      <c r="Y39" s="6"/>
      <c r="Z39" s="6"/>
    </row>
    <row r="40" ht="56.25" customHeight="1">
      <c r="A40" s="6"/>
      <c r="B40" s="190"/>
      <c r="C40" s="191" t="s">
        <v>338</v>
      </c>
      <c r="D40" s="192"/>
      <c r="E40" s="193" t="s">
        <v>336</v>
      </c>
      <c r="F40" s="194">
        <f>DATA!C5</f>
        <v>2220</v>
      </c>
      <c r="G40" s="195"/>
      <c r="H40" s="6"/>
      <c r="I40" s="6"/>
      <c r="J40" s="6"/>
      <c r="K40" s="6"/>
      <c r="L40" s="6"/>
      <c r="M40" s="6"/>
      <c r="N40" s="6"/>
      <c r="O40" s="6"/>
      <c r="P40" s="6"/>
      <c r="Q40" s="6"/>
      <c r="R40" s="6"/>
      <c r="S40" s="6"/>
      <c r="T40" s="6"/>
      <c r="U40" s="6"/>
      <c r="V40" s="6"/>
      <c r="W40" s="6"/>
      <c r="X40" s="6"/>
      <c r="Y40" s="6"/>
      <c r="Z40" s="6"/>
    </row>
    <row r="41" ht="56.25" customHeight="1">
      <c r="A41" s="6"/>
      <c r="B41" s="190"/>
      <c r="C41" s="191" t="s">
        <v>339</v>
      </c>
      <c r="D41" s="192"/>
      <c r="E41" s="193" t="s">
        <v>340</v>
      </c>
      <c r="F41" s="194">
        <f>DATA!C6</f>
        <v>0</v>
      </c>
      <c r="G41" s="195"/>
      <c r="H41" s="6"/>
      <c r="I41" s="6"/>
      <c r="J41" s="6"/>
      <c r="K41" s="6"/>
      <c r="L41" s="6"/>
      <c r="M41" s="6"/>
      <c r="N41" s="6"/>
      <c r="O41" s="6"/>
      <c r="P41" s="6"/>
      <c r="Q41" s="6"/>
      <c r="R41" s="6"/>
      <c r="S41" s="6"/>
      <c r="T41" s="6"/>
      <c r="U41" s="6"/>
      <c r="V41" s="6"/>
      <c r="W41" s="6"/>
      <c r="X41" s="6"/>
      <c r="Y41" s="6"/>
      <c r="Z41" s="6"/>
    </row>
    <row r="42" ht="56.25" customHeight="1">
      <c r="A42" s="6"/>
      <c r="B42" s="146"/>
      <c r="C42" s="196" t="s">
        <v>341</v>
      </c>
      <c r="D42" s="197"/>
      <c r="E42" s="198" t="s">
        <v>340</v>
      </c>
      <c r="F42" s="199">
        <f>DATA!C7</f>
        <v>0</v>
      </c>
      <c r="G42" s="200"/>
      <c r="H42" s="6"/>
      <c r="I42" s="6"/>
      <c r="J42" s="6"/>
      <c r="K42" s="6"/>
      <c r="L42" s="6"/>
      <c r="M42" s="6"/>
      <c r="N42" s="6"/>
      <c r="O42" s="6"/>
      <c r="P42" s="6"/>
      <c r="Q42" s="6"/>
      <c r="R42" s="6"/>
      <c r="S42" s="6"/>
      <c r="T42" s="6"/>
      <c r="U42" s="6"/>
      <c r="V42" s="6"/>
      <c r="W42" s="6"/>
      <c r="X42" s="6"/>
      <c r="Y42" s="6"/>
      <c r="Z42" s="6"/>
    </row>
    <row r="43" ht="56.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56.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7.5" customHeight="1">
      <c r="A45" s="6"/>
      <c r="B45" s="201" t="s">
        <v>53</v>
      </c>
      <c r="C45" s="202"/>
      <c r="D45" s="203"/>
      <c r="E45" s="11"/>
      <c r="F45" s="184">
        <f>SUM(F46:F54)</f>
        <v>32529.66623</v>
      </c>
      <c r="G45" s="6"/>
      <c r="H45" s="6"/>
      <c r="I45" s="6"/>
      <c r="J45" s="6"/>
      <c r="K45" s="6"/>
      <c r="L45" s="6"/>
      <c r="M45" s="6"/>
      <c r="N45" s="6"/>
      <c r="O45" s="6"/>
      <c r="P45" s="6"/>
      <c r="Q45" s="6"/>
      <c r="R45" s="6"/>
      <c r="S45" s="6"/>
      <c r="T45" s="6"/>
      <c r="U45" s="6"/>
      <c r="V45" s="6"/>
      <c r="W45" s="6"/>
      <c r="X45" s="6"/>
      <c r="Y45" s="6"/>
      <c r="Z45" s="6"/>
    </row>
    <row r="46" ht="56.25" customHeight="1">
      <c r="A46" s="6"/>
      <c r="B46" s="142"/>
      <c r="C46" s="185" t="s">
        <v>342</v>
      </c>
      <c r="D46" s="186"/>
      <c r="E46" s="187" t="s">
        <v>343</v>
      </c>
      <c r="F46" s="188">
        <f>DATA!C10</f>
        <v>13094.88308</v>
      </c>
      <c r="G46" s="189"/>
      <c r="H46" s="7"/>
      <c r="I46" s="6"/>
      <c r="J46" s="6"/>
      <c r="K46" s="6"/>
      <c r="L46" s="6"/>
      <c r="M46" s="6"/>
      <c r="N46" s="6"/>
      <c r="O46" s="6"/>
      <c r="P46" s="6"/>
      <c r="Q46" s="6"/>
      <c r="R46" s="6"/>
      <c r="S46" s="6"/>
      <c r="T46" s="6"/>
      <c r="U46" s="6"/>
      <c r="V46" s="6"/>
      <c r="W46" s="6"/>
      <c r="X46" s="6"/>
      <c r="Y46" s="6"/>
      <c r="Z46" s="6"/>
    </row>
    <row r="47" ht="56.25" customHeight="1">
      <c r="A47" s="6"/>
      <c r="B47" s="190"/>
      <c r="C47" s="191" t="s">
        <v>344</v>
      </c>
      <c r="D47" s="192"/>
      <c r="E47" s="193" t="s">
        <v>336</v>
      </c>
      <c r="F47" s="194">
        <f>DATA!C11</f>
        <v>2250</v>
      </c>
      <c r="G47" s="195"/>
      <c r="H47" s="6"/>
      <c r="I47" s="6"/>
      <c r="J47" s="6"/>
      <c r="K47" s="6"/>
      <c r="L47" s="6"/>
      <c r="M47" s="6"/>
      <c r="N47" s="6"/>
      <c r="O47" s="6"/>
      <c r="P47" s="6"/>
      <c r="Q47" s="6"/>
      <c r="R47" s="6"/>
      <c r="S47" s="6"/>
      <c r="T47" s="6"/>
      <c r="U47" s="6"/>
      <c r="V47" s="6"/>
      <c r="W47" s="6"/>
      <c r="X47" s="6"/>
      <c r="Y47" s="6"/>
      <c r="Z47" s="6"/>
    </row>
    <row r="48" ht="56.25" customHeight="1">
      <c r="A48" s="6"/>
      <c r="B48" s="190"/>
      <c r="C48" s="191" t="s">
        <v>345</v>
      </c>
      <c r="D48" s="192"/>
      <c r="E48" s="193" t="s">
        <v>346</v>
      </c>
      <c r="F48" s="194">
        <f>DATA!C12</f>
        <v>2250</v>
      </c>
      <c r="G48" s="195"/>
      <c r="H48" s="6"/>
      <c r="I48" s="6"/>
      <c r="J48" s="6"/>
      <c r="K48" s="6"/>
      <c r="L48" s="6"/>
      <c r="M48" s="6"/>
      <c r="N48" s="6"/>
      <c r="O48" s="6"/>
      <c r="P48" s="6"/>
      <c r="Q48" s="6"/>
      <c r="R48" s="6"/>
      <c r="S48" s="6"/>
      <c r="T48" s="6"/>
      <c r="U48" s="6"/>
      <c r="V48" s="6"/>
      <c r="W48" s="6"/>
      <c r="X48" s="6"/>
      <c r="Y48" s="6"/>
      <c r="Z48" s="6"/>
    </row>
    <row r="49" ht="56.25" customHeight="1">
      <c r="A49" s="6"/>
      <c r="B49" s="190"/>
      <c r="C49" s="191" t="s">
        <v>347</v>
      </c>
      <c r="D49" s="192"/>
      <c r="E49" s="193" t="s">
        <v>343</v>
      </c>
      <c r="F49" s="194">
        <f>DATA!C13</f>
        <v>2661.15</v>
      </c>
      <c r="G49" s="195"/>
      <c r="H49" s="6"/>
      <c r="I49" s="6"/>
      <c r="J49" s="6"/>
      <c r="K49" s="6"/>
      <c r="L49" s="6"/>
      <c r="M49" s="6"/>
      <c r="N49" s="6"/>
      <c r="O49" s="6"/>
      <c r="P49" s="6"/>
      <c r="Q49" s="6"/>
      <c r="R49" s="6"/>
      <c r="S49" s="6"/>
      <c r="T49" s="6"/>
      <c r="U49" s="6"/>
      <c r="V49" s="6"/>
      <c r="W49" s="6"/>
      <c r="X49" s="6"/>
      <c r="Y49" s="6"/>
      <c r="Z49" s="6"/>
    </row>
    <row r="50" ht="56.25" customHeight="1">
      <c r="A50" s="6"/>
      <c r="B50" s="190"/>
      <c r="C50" s="191" t="s">
        <v>348</v>
      </c>
      <c r="D50" s="192"/>
      <c r="E50" s="193" t="s">
        <v>346</v>
      </c>
      <c r="F50" s="194">
        <f>DATA!C14</f>
        <v>75</v>
      </c>
      <c r="G50" s="195"/>
      <c r="H50" s="6"/>
      <c r="I50" s="6"/>
      <c r="J50" s="6"/>
      <c r="K50" s="6"/>
      <c r="L50" s="6"/>
      <c r="M50" s="6"/>
      <c r="N50" s="6"/>
      <c r="O50" s="6"/>
      <c r="P50" s="6"/>
      <c r="Q50" s="6"/>
      <c r="R50" s="6"/>
      <c r="S50" s="6"/>
      <c r="T50" s="6"/>
      <c r="U50" s="6"/>
      <c r="V50" s="6"/>
      <c r="W50" s="6"/>
      <c r="X50" s="6"/>
      <c r="Y50" s="6"/>
      <c r="Z50" s="6"/>
    </row>
    <row r="51" ht="56.25" customHeight="1">
      <c r="A51" s="6"/>
      <c r="B51" s="190"/>
      <c r="C51" s="191" t="s">
        <v>349</v>
      </c>
      <c r="D51" s="192"/>
      <c r="E51" s="193" t="s">
        <v>343</v>
      </c>
      <c r="F51" s="194">
        <f>DATA!C15</f>
        <v>2898.633151</v>
      </c>
      <c r="G51" s="195"/>
      <c r="H51" s="6"/>
      <c r="I51" s="6"/>
      <c r="J51" s="6"/>
      <c r="K51" s="6"/>
      <c r="L51" s="6"/>
      <c r="M51" s="6"/>
      <c r="N51" s="6"/>
      <c r="O51" s="6"/>
      <c r="P51" s="6"/>
      <c r="Q51" s="6"/>
      <c r="R51" s="6"/>
      <c r="S51" s="6"/>
      <c r="T51" s="6"/>
      <c r="U51" s="6"/>
      <c r="V51" s="6"/>
      <c r="W51" s="6"/>
      <c r="X51" s="6"/>
      <c r="Y51" s="6"/>
      <c r="Z51" s="6"/>
    </row>
    <row r="52" ht="56.25" customHeight="1">
      <c r="A52" s="6"/>
      <c r="B52" s="190"/>
      <c r="C52" s="191" t="s">
        <v>350</v>
      </c>
      <c r="D52" s="192"/>
      <c r="E52" s="193" t="s">
        <v>343</v>
      </c>
      <c r="F52" s="194">
        <f>DATA!C16</f>
        <v>300</v>
      </c>
      <c r="G52" s="195"/>
      <c r="H52" s="6"/>
      <c r="I52" s="6"/>
      <c r="J52" s="6"/>
      <c r="K52" s="6"/>
      <c r="L52" s="6"/>
      <c r="M52" s="6"/>
      <c r="N52" s="6"/>
      <c r="O52" s="6"/>
      <c r="P52" s="6"/>
      <c r="Q52" s="6"/>
      <c r="R52" s="6"/>
      <c r="S52" s="6"/>
      <c r="T52" s="6"/>
      <c r="U52" s="6"/>
      <c r="V52" s="6"/>
      <c r="W52" s="6"/>
      <c r="X52" s="6"/>
      <c r="Y52" s="6"/>
      <c r="Z52" s="6"/>
    </row>
    <row r="53" ht="56.25" customHeight="1">
      <c r="A53" s="6"/>
      <c r="B53" s="190"/>
      <c r="C53" s="191" t="s">
        <v>351</v>
      </c>
      <c r="D53" s="192"/>
      <c r="E53" s="193" t="s">
        <v>343</v>
      </c>
      <c r="F53" s="194">
        <f>DATA!C17</f>
        <v>0</v>
      </c>
      <c r="G53" s="195"/>
      <c r="H53" s="6"/>
      <c r="I53" s="6"/>
      <c r="J53" s="6"/>
      <c r="K53" s="6"/>
      <c r="L53" s="6"/>
      <c r="M53" s="6"/>
      <c r="N53" s="6"/>
      <c r="O53" s="6"/>
      <c r="P53" s="6"/>
      <c r="Q53" s="6"/>
      <c r="R53" s="6"/>
      <c r="S53" s="6"/>
      <c r="T53" s="6"/>
      <c r="U53" s="6"/>
      <c r="V53" s="6"/>
      <c r="W53" s="6"/>
      <c r="X53" s="6"/>
      <c r="Y53" s="6"/>
      <c r="Z53" s="6"/>
    </row>
    <row r="54" ht="56.25" customHeight="1">
      <c r="A54" s="6"/>
      <c r="B54" s="146"/>
      <c r="C54" s="196" t="s">
        <v>352</v>
      </c>
      <c r="D54" s="197"/>
      <c r="E54" s="198" t="s">
        <v>343</v>
      </c>
      <c r="F54" s="199">
        <f>DATA!C18</f>
        <v>9000</v>
      </c>
      <c r="G54" s="200"/>
      <c r="H54" s="6"/>
      <c r="I54" s="6"/>
      <c r="J54" s="6"/>
      <c r="K54" s="6"/>
      <c r="L54" s="6"/>
      <c r="M54" s="6"/>
      <c r="N54" s="6"/>
      <c r="O54" s="6"/>
      <c r="P54" s="6"/>
      <c r="Q54" s="6"/>
      <c r="R54" s="6"/>
      <c r="S54" s="6"/>
      <c r="T54" s="6"/>
      <c r="U54" s="6"/>
      <c r="V54" s="6"/>
      <c r="W54" s="6"/>
      <c r="X54" s="6"/>
      <c r="Y54" s="6"/>
      <c r="Z54" s="6"/>
    </row>
    <row r="55" ht="3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3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3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3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37.5" customHeight="1">
      <c r="A59" s="6"/>
      <c r="B59" s="179" t="s">
        <v>333</v>
      </c>
      <c r="H59" s="6"/>
      <c r="I59" s="6"/>
      <c r="J59" s="6"/>
      <c r="K59" s="6"/>
      <c r="L59" s="6"/>
      <c r="M59" s="6"/>
      <c r="N59" s="6"/>
      <c r="O59" s="6"/>
      <c r="P59" s="6"/>
      <c r="Q59" s="6"/>
      <c r="R59" s="6"/>
      <c r="S59" s="6"/>
      <c r="T59" s="6"/>
      <c r="U59" s="6"/>
      <c r="V59" s="6"/>
      <c r="W59" s="6"/>
      <c r="X59" s="6"/>
      <c r="Y59" s="6"/>
      <c r="Z59" s="6"/>
    </row>
    <row r="60" ht="18.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37.5" customHeight="1">
      <c r="A61" s="6"/>
      <c r="B61" s="180" t="s">
        <v>353</v>
      </c>
      <c r="G61" s="6"/>
      <c r="H61" s="6"/>
      <c r="I61" s="6"/>
      <c r="J61" s="6"/>
      <c r="K61" s="6"/>
      <c r="L61" s="6"/>
      <c r="M61" s="6"/>
      <c r="N61" s="6"/>
      <c r="O61" s="6"/>
      <c r="P61" s="6"/>
      <c r="Q61" s="6"/>
      <c r="R61" s="6"/>
      <c r="S61" s="6"/>
      <c r="T61" s="6"/>
      <c r="U61" s="6"/>
      <c r="V61" s="6"/>
      <c r="W61" s="6"/>
      <c r="X61" s="6"/>
      <c r="Y61" s="6"/>
      <c r="Z61" s="6"/>
    </row>
    <row r="62" ht="3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3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37.5" customHeight="1">
      <c r="A64" s="6"/>
      <c r="B64" s="201" t="s">
        <v>354</v>
      </c>
      <c r="C64" s="202"/>
      <c r="D64" s="203"/>
      <c r="E64" s="11"/>
      <c r="F64" s="184">
        <f>SUM(F65:F75)</f>
        <v>261897.6615</v>
      </c>
      <c r="G64" s="6"/>
      <c r="H64" s="6"/>
      <c r="I64" s="6"/>
      <c r="J64" s="6"/>
      <c r="K64" s="6"/>
      <c r="L64" s="6"/>
      <c r="M64" s="6"/>
      <c r="N64" s="6"/>
      <c r="O64" s="6"/>
      <c r="P64" s="6"/>
      <c r="Q64" s="6"/>
      <c r="R64" s="6"/>
      <c r="S64" s="6"/>
      <c r="T64" s="6"/>
      <c r="U64" s="6"/>
      <c r="V64" s="6"/>
      <c r="W64" s="6"/>
      <c r="X64" s="6"/>
      <c r="Y64" s="6"/>
      <c r="Z64" s="6"/>
    </row>
    <row r="65" ht="45.0" customHeight="1">
      <c r="A65" s="6"/>
      <c r="B65" s="142"/>
      <c r="C65" s="185" t="s">
        <v>355</v>
      </c>
      <c r="D65" s="186"/>
      <c r="E65" s="204" t="s">
        <v>138</v>
      </c>
      <c r="F65" s="188">
        <f>SUM('PRODUCT PHASES 1-5'!J2:J4)*DATA!C22</f>
        <v>20400</v>
      </c>
      <c r="G65" s="189"/>
      <c r="H65" s="6"/>
      <c r="I65" s="6"/>
      <c r="J65" s="6"/>
      <c r="K65" s="6"/>
      <c r="L65" s="6"/>
      <c r="M65" s="6"/>
      <c r="N65" s="6"/>
      <c r="O65" s="6"/>
      <c r="P65" s="6"/>
      <c r="Q65" s="6"/>
      <c r="R65" s="6"/>
      <c r="S65" s="6"/>
      <c r="T65" s="6"/>
      <c r="U65" s="6"/>
      <c r="V65" s="6"/>
      <c r="W65" s="6"/>
      <c r="X65" s="6"/>
      <c r="Y65" s="6"/>
      <c r="Z65" s="6"/>
    </row>
    <row r="66" ht="45.0" customHeight="1">
      <c r="A66" s="6"/>
      <c r="B66" s="190"/>
      <c r="C66" s="191" t="s">
        <v>356</v>
      </c>
      <c r="D66" s="192"/>
      <c r="E66" s="205" t="s">
        <v>138</v>
      </c>
      <c r="F66" s="194">
        <f>SUM('PRODUCT PHASES 1-5'!J6:J12)*DATA!C22</f>
        <v>30718.038</v>
      </c>
      <c r="G66" s="195"/>
      <c r="H66" s="6"/>
      <c r="I66" s="6"/>
      <c r="J66" s="6"/>
      <c r="K66" s="6"/>
      <c r="L66" s="6"/>
      <c r="M66" s="6"/>
      <c r="N66" s="6"/>
      <c r="O66" s="6"/>
      <c r="P66" s="6"/>
      <c r="Q66" s="6"/>
      <c r="R66" s="6"/>
      <c r="S66" s="6"/>
      <c r="T66" s="6"/>
      <c r="U66" s="6"/>
      <c r="V66" s="6"/>
      <c r="W66" s="6"/>
      <c r="X66" s="6"/>
      <c r="Y66" s="6"/>
      <c r="Z66" s="6"/>
    </row>
    <row r="67" ht="45.0" customHeight="1">
      <c r="A67" s="6"/>
      <c r="B67" s="190"/>
      <c r="C67" s="191" t="s">
        <v>357</v>
      </c>
      <c r="D67" s="192"/>
      <c r="E67" s="205" t="s">
        <v>138</v>
      </c>
      <c r="F67" s="194">
        <f>SUM('PRODUCT PHASES 1-5'!J13:J16)*DATA!C22</f>
        <v>19200</v>
      </c>
      <c r="G67" s="195"/>
      <c r="H67" s="6"/>
      <c r="I67" s="6"/>
      <c r="J67" s="6"/>
      <c r="K67" s="6"/>
      <c r="L67" s="6"/>
      <c r="M67" s="6"/>
      <c r="N67" s="6"/>
      <c r="O67" s="6"/>
      <c r="P67" s="6"/>
      <c r="Q67" s="6"/>
      <c r="R67" s="6"/>
      <c r="S67" s="6"/>
      <c r="T67" s="6"/>
      <c r="U67" s="6"/>
      <c r="V67" s="6"/>
      <c r="W67" s="6"/>
      <c r="X67" s="6"/>
      <c r="Y67" s="6"/>
      <c r="Z67" s="6"/>
    </row>
    <row r="68" ht="45.0" customHeight="1">
      <c r="A68" s="6"/>
      <c r="B68" s="190"/>
      <c r="C68" s="191" t="s">
        <v>359</v>
      </c>
      <c r="D68" s="192"/>
      <c r="E68" s="205" t="s">
        <v>149</v>
      </c>
      <c r="F68" s="194">
        <f>SUM('PRODUCT PHASES 1-5'!J17:J30)*DATA!C22</f>
        <v>54637.0755</v>
      </c>
      <c r="G68" s="195"/>
      <c r="H68" s="6"/>
      <c r="I68" s="6"/>
      <c r="J68" s="6"/>
      <c r="K68" s="6"/>
      <c r="L68" s="6"/>
      <c r="M68" s="6"/>
      <c r="N68" s="6"/>
      <c r="O68" s="6"/>
      <c r="P68" s="6"/>
      <c r="Q68" s="6"/>
      <c r="R68" s="6"/>
      <c r="S68" s="6"/>
      <c r="T68" s="6"/>
      <c r="U68" s="6"/>
      <c r="V68" s="6"/>
      <c r="W68" s="6"/>
      <c r="X68" s="6"/>
      <c r="Y68" s="6"/>
      <c r="Z68" s="6"/>
    </row>
    <row r="69" ht="45.0" customHeight="1">
      <c r="A69" s="6"/>
      <c r="B69" s="190"/>
      <c r="C69" s="191" t="s">
        <v>360</v>
      </c>
      <c r="D69" s="192"/>
      <c r="E69" s="205" t="s">
        <v>153</v>
      </c>
      <c r="F69" s="194">
        <f>SUM('PRODUCT PHASES 1-5'!J35:J48)*DATA!C22</f>
        <v>34731.798</v>
      </c>
      <c r="G69" s="195"/>
      <c r="H69" s="6"/>
      <c r="I69" s="6"/>
      <c r="J69" s="6"/>
      <c r="K69" s="6"/>
      <c r="L69" s="6"/>
      <c r="M69" s="6"/>
      <c r="N69" s="6"/>
      <c r="O69" s="6"/>
      <c r="P69" s="6"/>
      <c r="Q69" s="6"/>
      <c r="R69" s="6"/>
      <c r="S69" s="6"/>
      <c r="T69" s="6"/>
      <c r="U69" s="6"/>
      <c r="V69" s="6"/>
      <c r="W69" s="6"/>
      <c r="X69" s="6"/>
      <c r="Y69" s="6"/>
      <c r="Z69" s="6"/>
    </row>
    <row r="70" ht="45.0" customHeight="1">
      <c r="A70" s="6"/>
      <c r="B70" s="190"/>
      <c r="C70" s="191" t="s">
        <v>361</v>
      </c>
      <c r="D70" s="207"/>
      <c r="E70" s="205" t="s">
        <v>153</v>
      </c>
      <c r="F70" s="194">
        <f>SUM('PRODUCT PHASES 1-5'!J49:J60)*DATA!C22</f>
        <v>12921.864</v>
      </c>
      <c r="G70" s="195"/>
      <c r="H70" s="6"/>
      <c r="I70" s="6"/>
      <c r="J70" s="6"/>
      <c r="K70" s="6"/>
      <c r="L70" s="6"/>
      <c r="M70" s="6"/>
      <c r="N70" s="6"/>
      <c r="O70" s="6"/>
      <c r="P70" s="6"/>
      <c r="Q70" s="6"/>
      <c r="R70" s="6"/>
      <c r="S70" s="6"/>
      <c r="T70" s="6"/>
      <c r="U70" s="6"/>
      <c r="V70" s="6"/>
      <c r="W70" s="6"/>
      <c r="X70" s="6"/>
      <c r="Y70" s="6"/>
      <c r="Z70" s="6"/>
    </row>
    <row r="71" ht="45.0" customHeight="1">
      <c r="A71" s="6"/>
      <c r="B71" s="190"/>
      <c r="C71" s="191" t="s">
        <v>362</v>
      </c>
      <c r="D71" s="192"/>
      <c r="E71" s="205" t="s">
        <v>159</v>
      </c>
      <c r="F71" s="194">
        <f>SUM('PRODUCT PHASES 1-5'!J31:J34,'PRODUCT PHASES 1-5'!J61:J62)*DATA!C22</f>
        <v>20825.67</v>
      </c>
      <c r="G71" s="195"/>
      <c r="H71" s="6"/>
      <c r="I71" s="6"/>
      <c r="J71" s="6"/>
      <c r="K71" s="6"/>
      <c r="L71" s="6"/>
      <c r="M71" s="6"/>
      <c r="N71" s="6"/>
      <c r="O71" s="6"/>
      <c r="P71" s="6"/>
      <c r="Q71" s="6"/>
      <c r="R71" s="6"/>
      <c r="S71" s="6"/>
      <c r="T71" s="6"/>
      <c r="U71" s="6"/>
      <c r="V71" s="6"/>
      <c r="W71" s="6"/>
      <c r="X71" s="6"/>
      <c r="Y71" s="6"/>
      <c r="Z71" s="6"/>
    </row>
    <row r="72" ht="45.0" customHeight="1">
      <c r="A72" s="6"/>
      <c r="B72" s="190"/>
      <c r="C72" s="191" t="s">
        <v>364</v>
      </c>
      <c r="D72" s="207"/>
      <c r="E72" s="205" t="s">
        <v>159</v>
      </c>
      <c r="F72" s="194">
        <f>SUM('PRODUCT PHASES 1-5'!J63:J76)*DATA!C22</f>
        <v>24614.136</v>
      </c>
      <c r="G72" s="195"/>
      <c r="H72" s="6"/>
      <c r="I72" s="6"/>
      <c r="J72" s="6"/>
      <c r="K72" s="6"/>
      <c r="L72" s="6"/>
      <c r="M72" s="6"/>
      <c r="N72" s="6"/>
      <c r="O72" s="6"/>
      <c r="P72" s="6"/>
      <c r="Q72" s="6"/>
      <c r="R72" s="6"/>
      <c r="S72" s="6"/>
      <c r="T72" s="6"/>
      <c r="U72" s="6"/>
      <c r="V72" s="6"/>
      <c r="W72" s="6"/>
      <c r="X72" s="6"/>
      <c r="Y72" s="6"/>
      <c r="Z72" s="6"/>
    </row>
    <row r="73" ht="45.0" customHeight="1">
      <c r="A73" s="6"/>
      <c r="B73" s="190"/>
      <c r="C73" s="191" t="s">
        <v>365</v>
      </c>
      <c r="D73" s="207"/>
      <c r="E73" s="205" t="s">
        <v>159</v>
      </c>
      <c r="F73" s="194">
        <f>SUM('PRODUCT PHASES 1-5'!J77:J79)*DATA!C22</f>
        <v>22200</v>
      </c>
      <c r="G73" s="195"/>
      <c r="H73" s="6"/>
      <c r="I73" s="6"/>
      <c r="J73" s="6"/>
      <c r="K73" s="6"/>
      <c r="L73" s="6"/>
      <c r="M73" s="6"/>
      <c r="N73" s="6"/>
      <c r="O73" s="6"/>
      <c r="P73" s="6"/>
      <c r="Q73" s="6"/>
      <c r="R73" s="6"/>
      <c r="S73" s="6"/>
      <c r="T73" s="6"/>
      <c r="U73" s="6"/>
      <c r="V73" s="6"/>
      <c r="W73" s="6"/>
      <c r="X73" s="6"/>
      <c r="Y73" s="6"/>
      <c r="Z73" s="6"/>
    </row>
    <row r="74" ht="45.0" customHeight="1">
      <c r="A74" s="6"/>
      <c r="B74" s="190"/>
      <c r="C74" s="191" t="s">
        <v>366</v>
      </c>
      <c r="D74" s="207"/>
      <c r="E74" s="205" t="s">
        <v>165</v>
      </c>
      <c r="F74" s="194">
        <f>SUM('PRODUCT PHASES 1-5'!J80:J89)*DATA!C22</f>
        <v>19249.08</v>
      </c>
      <c r="G74" s="195"/>
      <c r="H74" s="6"/>
      <c r="I74" s="6"/>
      <c r="J74" s="6"/>
      <c r="K74" s="6"/>
      <c r="L74" s="6"/>
      <c r="M74" s="6"/>
      <c r="N74" s="6"/>
      <c r="O74" s="6"/>
      <c r="P74" s="6"/>
      <c r="Q74" s="6"/>
      <c r="R74" s="6"/>
      <c r="S74" s="6"/>
      <c r="T74" s="6"/>
      <c r="U74" s="6"/>
      <c r="V74" s="6"/>
      <c r="W74" s="6"/>
      <c r="X74" s="6"/>
      <c r="Y74" s="6"/>
      <c r="Z74" s="6"/>
    </row>
    <row r="75" ht="45.0" customHeight="1">
      <c r="A75" s="6"/>
      <c r="B75" s="146"/>
      <c r="C75" s="196" t="s">
        <v>367</v>
      </c>
      <c r="D75" s="197"/>
      <c r="E75" s="198" t="s">
        <v>165</v>
      </c>
      <c r="F75" s="199">
        <f>'PRODUCT PHASES 1-5'!J90*DATA!C22</f>
        <v>2400</v>
      </c>
      <c r="G75" s="200"/>
      <c r="H75" s="6"/>
      <c r="I75" s="6"/>
      <c r="J75" s="6"/>
      <c r="K75" s="6"/>
      <c r="L75" s="6"/>
      <c r="M75" s="6"/>
      <c r="N75" s="6"/>
      <c r="O75" s="6"/>
      <c r="P75" s="6"/>
      <c r="Q75" s="6"/>
      <c r="R75" s="6"/>
      <c r="S75" s="6"/>
      <c r="T75" s="6"/>
      <c r="U75" s="6"/>
      <c r="V75" s="6"/>
      <c r="W75" s="6"/>
      <c r="X75" s="6"/>
      <c r="Y75" s="6"/>
      <c r="Z75" s="6"/>
    </row>
    <row r="76" ht="3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37.5" customHeight="1">
      <c r="A77" s="6"/>
      <c r="B77" s="201" t="s">
        <v>27</v>
      </c>
      <c r="C77" s="202"/>
      <c r="D77" s="203"/>
      <c r="E77" s="11"/>
      <c r="F77" s="184">
        <f>SUM(F78:F90)</f>
        <v>164580</v>
      </c>
      <c r="G77" s="6"/>
      <c r="H77" s="6"/>
      <c r="I77" s="6"/>
      <c r="J77" s="6"/>
      <c r="K77" s="6"/>
      <c r="L77" s="6"/>
      <c r="M77" s="6"/>
      <c r="N77" s="6"/>
      <c r="O77" s="6"/>
      <c r="P77" s="6"/>
      <c r="Q77" s="6"/>
      <c r="R77" s="6"/>
      <c r="S77" s="6"/>
      <c r="T77" s="6"/>
      <c r="U77" s="6"/>
      <c r="V77" s="6"/>
      <c r="W77" s="6"/>
      <c r="X77" s="6"/>
      <c r="Y77" s="6"/>
      <c r="Z77" s="6"/>
    </row>
    <row r="78" ht="45.0" customHeight="1">
      <c r="A78" s="6"/>
      <c r="B78" s="142"/>
      <c r="C78" s="185" t="s">
        <v>69</v>
      </c>
      <c r="D78" s="186"/>
      <c r="E78" s="204" t="s">
        <v>368</v>
      </c>
      <c r="F78" s="188">
        <f>SUMIF('EXTERIOR &amp; ADD-ONS'!$B$3:$F$20,C78,'EXTERIOR &amp; ADD-ONS'!$F$3:$F$20)</f>
        <v>66000</v>
      </c>
      <c r="G78" s="189"/>
      <c r="H78" s="6"/>
      <c r="I78" s="6"/>
      <c r="J78" s="6"/>
      <c r="K78" s="6"/>
      <c r="L78" s="6"/>
      <c r="M78" s="6"/>
      <c r="N78" s="6"/>
      <c r="O78" s="6"/>
      <c r="P78" s="6"/>
      <c r="Q78" s="6"/>
      <c r="R78" s="6"/>
      <c r="S78" s="6"/>
      <c r="T78" s="6"/>
      <c r="U78" s="6"/>
      <c r="V78" s="6"/>
      <c r="W78" s="6"/>
      <c r="X78" s="6"/>
      <c r="Y78" s="6"/>
      <c r="Z78" s="6"/>
    </row>
    <row r="79" ht="45.0" customHeight="1">
      <c r="A79" s="6"/>
      <c r="B79" s="190"/>
      <c r="C79" s="191" t="s">
        <v>369</v>
      </c>
      <c r="D79" s="192"/>
      <c r="E79" s="205"/>
      <c r="F79" s="194">
        <f>SUMIF('EXTERIOR &amp; ADD-ONS'!$B$3:$F$20,C79,'EXTERIOR &amp; ADD-ONS'!$F$3:$F$20)</f>
        <v>0</v>
      </c>
      <c r="G79" s="195"/>
      <c r="H79" s="6"/>
      <c r="I79" s="6"/>
      <c r="J79" s="6"/>
      <c r="K79" s="6"/>
      <c r="L79" s="6"/>
      <c r="M79" s="6"/>
      <c r="N79" s="6"/>
      <c r="O79" s="6"/>
      <c r="P79" s="6"/>
      <c r="Q79" s="6"/>
      <c r="R79" s="6"/>
      <c r="S79" s="6"/>
      <c r="T79" s="6"/>
      <c r="U79" s="6"/>
      <c r="V79" s="6"/>
      <c r="W79" s="6"/>
      <c r="X79" s="6"/>
      <c r="Y79" s="6"/>
      <c r="Z79" s="6"/>
    </row>
    <row r="80" ht="45.0" customHeight="1">
      <c r="A80" s="6"/>
      <c r="B80" s="190"/>
      <c r="C80" s="191" t="s">
        <v>370</v>
      </c>
      <c r="D80" s="192"/>
      <c r="E80" s="205"/>
      <c r="F80" s="194">
        <f>SUMIF('EXTERIOR &amp; ADD-ONS'!$B$3:$F$20,C80,'EXTERIOR &amp; ADD-ONS'!$F$3:$F$20)</f>
        <v>0</v>
      </c>
      <c r="G80" s="195"/>
      <c r="H80" s="6"/>
      <c r="I80" s="6"/>
      <c r="J80" s="6"/>
      <c r="K80" s="6"/>
      <c r="L80" s="6"/>
      <c r="M80" s="6"/>
      <c r="N80" s="6"/>
      <c r="O80" s="6"/>
      <c r="P80" s="6"/>
      <c r="Q80" s="6"/>
      <c r="R80" s="6"/>
      <c r="S80" s="6"/>
      <c r="T80" s="6"/>
      <c r="U80" s="6"/>
      <c r="V80" s="6"/>
      <c r="W80" s="6"/>
      <c r="X80" s="6"/>
      <c r="Y80" s="6"/>
      <c r="Z80" s="6"/>
    </row>
    <row r="81" ht="45.0" customHeight="1">
      <c r="A81" s="6"/>
      <c r="B81" s="190"/>
      <c r="C81" s="191" t="s">
        <v>272</v>
      </c>
      <c r="D81" s="192"/>
      <c r="E81" s="205" t="s">
        <v>368</v>
      </c>
      <c r="F81" s="194">
        <f>SUMIF('EXTERIOR &amp; ADD-ONS'!$B$3:$F$20,C81,'EXTERIOR &amp; ADD-ONS'!$F$3:$F$20)</f>
        <v>12600</v>
      </c>
      <c r="G81" s="195"/>
      <c r="H81" s="6"/>
      <c r="I81" s="6"/>
      <c r="J81" s="6"/>
      <c r="K81" s="6"/>
      <c r="L81" s="6"/>
      <c r="M81" s="6"/>
      <c r="N81" s="6"/>
      <c r="O81" s="6"/>
      <c r="P81" s="6"/>
      <c r="Q81" s="6"/>
      <c r="R81" s="6"/>
      <c r="S81" s="6"/>
      <c r="T81" s="6"/>
      <c r="U81" s="6"/>
      <c r="V81" s="6"/>
      <c r="W81" s="6"/>
      <c r="X81" s="6"/>
      <c r="Y81" s="6"/>
      <c r="Z81" s="6"/>
    </row>
    <row r="82" ht="45.0" customHeight="1">
      <c r="A82" s="6"/>
      <c r="B82" s="190"/>
      <c r="C82" s="191" t="s">
        <v>276</v>
      </c>
      <c r="D82" s="192"/>
      <c r="E82" s="205" t="s">
        <v>368</v>
      </c>
      <c r="F82" s="194">
        <f>SUMIF('EXTERIOR &amp; ADD-ONS'!$B$3:$F$20,C82,'EXTERIOR &amp; ADD-ONS'!$F$3:$F$20)</f>
        <v>12000</v>
      </c>
      <c r="G82" s="195"/>
      <c r="H82" s="6"/>
      <c r="I82" s="6"/>
      <c r="J82" s="6"/>
      <c r="K82" s="6"/>
      <c r="L82" s="6"/>
      <c r="M82" s="6"/>
      <c r="N82" s="6"/>
      <c r="O82" s="6"/>
      <c r="P82" s="6"/>
      <c r="Q82" s="6"/>
      <c r="R82" s="6"/>
      <c r="S82" s="6"/>
      <c r="T82" s="6"/>
      <c r="U82" s="6"/>
      <c r="V82" s="6"/>
      <c r="W82" s="6"/>
      <c r="X82" s="6"/>
      <c r="Y82" s="6"/>
      <c r="Z82" s="6"/>
    </row>
    <row r="83" ht="45.0" customHeight="1">
      <c r="A83" s="6"/>
      <c r="B83" s="190"/>
      <c r="C83" s="191" t="s">
        <v>279</v>
      </c>
      <c r="D83" s="192"/>
      <c r="E83" s="205" t="s">
        <v>368</v>
      </c>
      <c r="F83" s="194">
        <f>SUMIF('EXTERIOR &amp; ADD-ONS'!$B$3:$F$20,C83,'EXTERIOR &amp; ADD-ONS'!$F$3:$F$20)</f>
        <v>19980</v>
      </c>
      <c r="G83" s="195"/>
      <c r="H83" s="6"/>
      <c r="I83" s="6"/>
      <c r="J83" s="6"/>
      <c r="K83" s="6"/>
      <c r="L83" s="6"/>
      <c r="M83" s="6"/>
      <c r="N83" s="6"/>
      <c r="O83" s="6"/>
      <c r="P83" s="6"/>
      <c r="Q83" s="6"/>
      <c r="R83" s="6"/>
      <c r="S83" s="6"/>
      <c r="T83" s="6"/>
      <c r="U83" s="6"/>
      <c r="V83" s="6"/>
      <c r="W83" s="6"/>
      <c r="X83" s="6"/>
      <c r="Y83" s="6"/>
      <c r="Z83" s="6"/>
    </row>
    <row r="84" ht="45.0" customHeight="1">
      <c r="A84" s="6"/>
      <c r="B84" s="190"/>
      <c r="C84" s="191" t="s">
        <v>371</v>
      </c>
      <c r="D84" s="207"/>
      <c r="E84" s="205"/>
      <c r="F84" s="194">
        <f>SUMIF('EXTERIOR &amp; ADD-ONS'!$B$3:$F$20,C84,'EXTERIOR &amp; ADD-ONS'!$F$3:$F$20)</f>
        <v>0</v>
      </c>
      <c r="G84" s="195"/>
      <c r="H84" s="6"/>
      <c r="I84" s="6"/>
      <c r="J84" s="6"/>
      <c r="K84" s="6"/>
      <c r="L84" s="6"/>
      <c r="M84" s="6"/>
      <c r="N84" s="6"/>
      <c r="O84" s="6"/>
      <c r="P84" s="6"/>
      <c r="Q84" s="6"/>
      <c r="R84" s="6"/>
      <c r="S84" s="6"/>
      <c r="T84" s="6"/>
      <c r="U84" s="6"/>
      <c r="V84" s="6"/>
      <c r="W84" s="6"/>
      <c r="X84" s="6"/>
      <c r="Y84" s="6"/>
      <c r="Z84" s="6"/>
    </row>
    <row r="85" ht="45.0" customHeight="1">
      <c r="A85" s="6"/>
      <c r="B85" s="190"/>
      <c r="C85" s="191" t="s">
        <v>70</v>
      </c>
      <c r="D85" s="207"/>
      <c r="E85" s="205"/>
      <c r="F85" s="194">
        <v>0.0</v>
      </c>
      <c r="G85" s="195"/>
      <c r="H85" s="6"/>
      <c r="I85" s="6"/>
      <c r="J85" s="6"/>
      <c r="K85" s="6"/>
      <c r="L85" s="6"/>
      <c r="M85" s="6"/>
      <c r="N85" s="6"/>
      <c r="O85" s="6"/>
      <c r="P85" s="6"/>
      <c r="Q85" s="6"/>
      <c r="R85" s="6"/>
      <c r="S85" s="6"/>
      <c r="T85" s="6"/>
      <c r="U85" s="6"/>
      <c r="V85" s="6"/>
      <c r="W85" s="6"/>
      <c r="X85" s="6"/>
      <c r="Y85" s="6"/>
      <c r="Z85" s="6"/>
    </row>
    <row r="86" ht="45.0" customHeight="1">
      <c r="A86" s="6"/>
      <c r="B86" s="190"/>
      <c r="C86" s="191" t="s">
        <v>282</v>
      </c>
      <c r="D86" s="207"/>
      <c r="E86" s="205" t="s">
        <v>368</v>
      </c>
      <c r="F86" s="194">
        <f>SUMIF('EXTERIOR &amp; ADD-ONS'!$B$3:$F$20,C86,'EXTERIOR &amp; ADD-ONS'!$F$3:$F$20)</f>
        <v>48000</v>
      </c>
      <c r="G86" s="195"/>
      <c r="H86" s="6"/>
      <c r="I86" s="6"/>
      <c r="J86" s="6"/>
      <c r="K86" s="6"/>
      <c r="L86" s="6"/>
      <c r="M86" s="6"/>
      <c r="N86" s="6"/>
      <c r="O86" s="6"/>
      <c r="P86" s="6"/>
      <c r="Q86" s="6"/>
      <c r="R86" s="6"/>
      <c r="S86" s="6"/>
      <c r="T86" s="6"/>
      <c r="U86" s="6"/>
      <c r="V86" s="6"/>
      <c r="W86" s="6"/>
      <c r="X86" s="6"/>
      <c r="Y86" s="6"/>
      <c r="Z86" s="6"/>
    </row>
    <row r="87" ht="45.0" customHeight="1">
      <c r="A87" s="6"/>
      <c r="B87" s="190"/>
      <c r="C87" s="191" t="s">
        <v>286</v>
      </c>
      <c r="D87" s="207"/>
      <c r="E87" s="205" t="s">
        <v>368</v>
      </c>
      <c r="F87" s="194">
        <f>SUMIF('EXTERIOR &amp; ADD-ONS'!$B$3:$F$20,C87,'EXTERIOR &amp; ADD-ONS'!$F$3:$F$20)</f>
        <v>6000</v>
      </c>
      <c r="G87" s="195"/>
      <c r="H87" s="6"/>
      <c r="I87" s="6"/>
      <c r="J87" s="6"/>
      <c r="K87" s="6"/>
      <c r="L87" s="6"/>
      <c r="M87" s="6"/>
      <c r="N87" s="6"/>
      <c r="O87" s="6"/>
      <c r="P87" s="6"/>
      <c r="Q87" s="6"/>
      <c r="R87" s="6"/>
      <c r="S87" s="6"/>
      <c r="T87" s="6"/>
      <c r="U87" s="6"/>
      <c r="V87" s="6"/>
      <c r="W87" s="6"/>
      <c r="X87" s="6"/>
      <c r="Y87" s="6"/>
      <c r="Z87" s="6"/>
    </row>
    <row r="88" ht="45.0" customHeight="1">
      <c r="A88" s="6"/>
      <c r="B88" s="190"/>
      <c r="C88" s="191" t="s">
        <v>372</v>
      </c>
      <c r="D88" s="207"/>
      <c r="E88" s="205"/>
      <c r="F88" s="194">
        <f>SUMIF('EXTERIOR &amp; ADD-ONS'!$B$3:$F$20,C88,'EXTERIOR &amp; ADD-ONS'!$F$3:$F$20)</f>
        <v>0</v>
      </c>
      <c r="G88" s="195"/>
      <c r="H88" s="6"/>
      <c r="I88" s="6"/>
      <c r="J88" s="6"/>
      <c r="K88" s="6"/>
      <c r="L88" s="6"/>
      <c r="M88" s="6"/>
      <c r="N88" s="6"/>
      <c r="O88" s="6"/>
      <c r="P88" s="6"/>
      <c r="Q88" s="6"/>
      <c r="R88" s="6"/>
      <c r="S88" s="6"/>
      <c r="T88" s="6"/>
      <c r="U88" s="6"/>
      <c r="V88" s="6"/>
      <c r="W88" s="6"/>
      <c r="X88" s="6"/>
      <c r="Y88" s="6"/>
      <c r="Z88" s="6"/>
    </row>
    <row r="89" ht="45.0" customHeight="1">
      <c r="A89" s="6"/>
      <c r="B89" s="190"/>
      <c r="C89" s="191" t="s">
        <v>373</v>
      </c>
      <c r="D89" s="207"/>
      <c r="E89" s="205"/>
      <c r="F89" s="194">
        <f>SUMIF('EXTERIOR &amp; ADD-ONS'!$B$3:$F$20,C89,'EXTERIOR &amp; ADD-ONS'!$F$3:$F$20)</f>
        <v>0</v>
      </c>
      <c r="G89" s="195"/>
      <c r="H89" s="6"/>
      <c r="I89" s="6"/>
      <c r="J89" s="6"/>
      <c r="K89" s="6"/>
      <c r="L89" s="6"/>
      <c r="M89" s="6"/>
      <c r="N89" s="6"/>
      <c r="O89" s="6"/>
      <c r="P89" s="6"/>
      <c r="Q89" s="6"/>
      <c r="R89" s="6"/>
      <c r="S89" s="6"/>
      <c r="T89" s="6"/>
      <c r="U89" s="6"/>
      <c r="V89" s="6"/>
      <c r="W89" s="6"/>
      <c r="X89" s="6"/>
      <c r="Y89" s="6"/>
      <c r="Z89" s="6"/>
    </row>
    <row r="90" ht="45.0" customHeight="1">
      <c r="A90" s="6"/>
      <c r="B90" s="146"/>
      <c r="C90" s="196" t="s">
        <v>374</v>
      </c>
      <c r="D90" s="197"/>
      <c r="E90" s="198"/>
      <c r="F90" s="199">
        <f>SUMIF('EXTERIOR &amp; ADD-ONS'!$B$3:$F$20,C90,'EXTERIOR &amp; ADD-ONS'!$F$3:$F$20)</f>
        <v>0</v>
      </c>
      <c r="G90" s="200"/>
      <c r="H90" s="6"/>
      <c r="I90" s="6"/>
      <c r="J90" s="6"/>
      <c r="K90" s="6"/>
      <c r="L90" s="6"/>
      <c r="M90" s="6"/>
      <c r="N90" s="6"/>
      <c r="O90" s="6"/>
      <c r="P90" s="6"/>
      <c r="Q90" s="6"/>
      <c r="R90" s="6"/>
      <c r="S90" s="6"/>
      <c r="T90" s="6"/>
      <c r="U90" s="6"/>
      <c r="V90" s="6"/>
      <c r="W90" s="6"/>
      <c r="X90" s="6"/>
      <c r="Y90" s="6"/>
      <c r="Z90" s="6"/>
    </row>
    <row r="91" ht="56.25" customHeight="1">
      <c r="A91" s="6"/>
      <c r="B91" s="179" t="s">
        <v>333</v>
      </c>
      <c r="H91" s="179"/>
      <c r="I91" s="6"/>
      <c r="J91" s="6"/>
      <c r="K91" s="6"/>
      <c r="L91" s="6"/>
      <c r="M91" s="6"/>
      <c r="N91" s="6"/>
      <c r="O91" s="6"/>
      <c r="P91" s="6"/>
      <c r="Q91" s="6"/>
      <c r="R91" s="6"/>
      <c r="S91" s="6"/>
      <c r="T91" s="6"/>
      <c r="U91" s="6"/>
      <c r="V91" s="6"/>
      <c r="W91" s="6"/>
      <c r="X91" s="6"/>
      <c r="Y91" s="6"/>
      <c r="Z91" s="6"/>
    </row>
    <row r="92" ht="18.75" customHeight="1">
      <c r="A92" s="6"/>
      <c r="B92" s="208"/>
      <c r="C92" s="209"/>
      <c r="D92" s="209"/>
      <c r="E92" s="209"/>
      <c r="F92" s="209"/>
      <c r="G92" s="6"/>
      <c r="H92" s="6"/>
      <c r="I92" s="6"/>
      <c r="J92" s="6"/>
      <c r="K92" s="6"/>
      <c r="L92" s="6"/>
      <c r="M92" s="6"/>
      <c r="N92" s="6"/>
      <c r="O92" s="6"/>
      <c r="P92" s="6"/>
      <c r="Q92" s="6"/>
      <c r="R92" s="6"/>
      <c r="S92" s="6"/>
      <c r="T92" s="6"/>
      <c r="U92" s="6"/>
      <c r="V92" s="6"/>
      <c r="W92" s="6"/>
      <c r="X92" s="6"/>
      <c r="Y92" s="6"/>
      <c r="Z92" s="6"/>
    </row>
    <row r="93" ht="37.5" customHeight="1">
      <c r="A93" s="6"/>
      <c r="B93" s="180" t="s">
        <v>375</v>
      </c>
      <c r="G93" s="6"/>
      <c r="H93" s="6"/>
      <c r="I93" s="6"/>
      <c r="J93" s="6"/>
      <c r="K93" s="6"/>
      <c r="L93" s="6"/>
      <c r="M93" s="6"/>
      <c r="N93" s="6"/>
      <c r="O93" s="6"/>
      <c r="P93" s="6"/>
      <c r="Q93" s="6"/>
      <c r="R93" s="6"/>
      <c r="S93" s="6"/>
      <c r="T93" s="6"/>
      <c r="U93" s="6"/>
      <c r="V93" s="6"/>
      <c r="W93" s="6"/>
      <c r="X93" s="6"/>
      <c r="Y93" s="6"/>
      <c r="Z93" s="6"/>
    </row>
    <row r="94" ht="37.5" customHeight="1">
      <c r="A94" s="6"/>
      <c r="B94" s="208"/>
      <c r="C94" s="209"/>
      <c r="D94" s="209"/>
      <c r="E94" s="209"/>
      <c r="F94" s="209"/>
      <c r="G94" s="6"/>
      <c r="H94" s="6"/>
      <c r="I94" s="6"/>
      <c r="J94" s="6"/>
      <c r="K94" s="6"/>
      <c r="L94" s="6"/>
      <c r="M94" s="6"/>
      <c r="N94" s="6"/>
      <c r="O94" s="6"/>
      <c r="P94" s="6"/>
      <c r="Q94" s="6"/>
      <c r="R94" s="6"/>
      <c r="S94" s="6"/>
      <c r="T94" s="6"/>
      <c r="U94" s="6"/>
      <c r="V94" s="6"/>
      <c r="W94" s="6"/>
      <c r="X94" s="6"/>
      <c r="Y94" s="6"/>
      <c r="Z94" s="6"/>
    </row>
    <row r="95" ht="37.5" customHeight="1">
      <c r="A95" s="6"/>
      <c r="B95" s="208"/>
      <c r="C95" s="209"/>
      <c r="D95" s="209"/>
      <c r="E95" s="209"/>
      <c r="F95" s="209"/>
      <c r="G95" s="6"/>
      <c r="H95" s="6"/>
      <c r="I95" s="6"/>
      <c r="J95" s="6"/>
      <c r="K95" s="6"/>
      <c r="L95" s="6"/>
      <c r="M95" s="6"/>
      <c r="N95" s="6"/>
      <c r="O95" s="6"/>
      <c r="P95" s="6"/>
      <c r="Q95" s="6"/>
      <c r="R95" s="6"/>
      <c r="S95" s="6"/>
      <c r="T95" s="6"/>
      <c r="U95" s="6"/>
      <c r="V95" s="6"/>
      <c r="W95" s="6"/>
      <c r="X95" s="6"/>
      <c r="Y95" s="6"/>
      <c r="Z95" s="6"/>
    </row>
    <row r="96" ht="37.5" customHeight="1">
      <c r="A96" s="11"/>
      <c r="B96" s="210" t="s">
        <v>376</v>
      </c>
      <c r="C96" s="211" t="s">
        <v>401</v>
      </c>
      <c r="G96" s="11"/>
      <c r="H96" s="11"/>
      <c r="I96" s="11"/>
      <c r="J96" s="11"/>
      <c r="K96" s="11"/>
      <c r="L96" s="11"/>
      <c r="M96" s="11"/>
      <c r="N96" s="11"/>
      <c r="O96" s="11"/>
      <c r="P96" s="11"/>
      <c r="Q96" s="11"/>
      <c r="R96" s="11"/>
      <c r="S96" s="11"/>
      <c r="T96" s="11"/>
      <c r="U96" s="11"/>
      <c r="V96" s="11"/>
      <c r="W96" s="11"/>
      <c r="X96" s="11"/>
      <c r="Y96" s="11"/>
      <c r="Z96" s="11"/>
    </row>
    <row r="97" ht="15.0" customHeight="1">
      <c r="A97" s="11"/>
      <c r="B97" s="212"/>
      <c r="C97" s="212"/>
      <c r="D97" s="212"/>
      <c r="E97" s="212"/>
      <c r="F97" s="212"/>
      <c r="G97" s="11"/>
      <c r="H97" s="11"/>
      <c r="I97" s="11"/>
      <c r="J97" s="11"/>
      <c r="K97" s="11"/>
      <c r="L97" s="11"/>
      <c r="M97" s="11"/>
      <c r="N97" s="11"/>
      <c r="O97" s="11"/>
      <c r="P97" s="11"/>
      <c r="Q97" s="11"/>
      <c r="R97" s="11"/>
      <c r="S97" s="11"/>
      <c r="T97" s="11"/>
      <c r="U97" s="11"/>
      <c r="V97" s="11"/>
      <c r="W97" s="11"/>
      <c r="X97" s="11"/>
      <c r="Y97" s="11"/>
      <c r="Z97" s="11"/>
    </row>
    <row r="98" ht="15.75" customHeight="1">
      <c r="A98" s="11"/>
      <c r="B98" s="210" t="s">
        <v>378</v>
      </c>
      <c r="C98" s="211" t="s">
        <v>379</v>
      </c>
      <c r="G98" s="11"/>
      <c r="H98" s="11"/>
      <c r="I98" s="11"/>
      <c r="J98" s="11"/>
      <c r="K98" s="11"/>
      <c r="L98" s="11"/>
      <c r="M98" s="11"/>
      <c r="N98" s="11"/>
      <c r="O98" s="11"/>
      <c r="P98" s="11"/>
      <c r="Q98" s="11"/>
      <c r="R98" s="11"/>
      <c r="S98" s="11"/>
      <c r="T98" s="11"/>
      <c r="U98" s="11"/>
      <c r="V98" s="11"/>
      <c r="W98" s="11"/>
      <c r="X98" s="11"/>
      <c r="Y98" s="11"/>
      <c r="Z98" s="11"/>
    </row>
    <row r="99" ht="15.0" customHeight="1">
      <c r="A99" s="11"/>
      <c r="B99" s="212"/>
      <c r="C99" s="212"/>
      <c r="D99" s="212"/>
      <c r="E99" s="212"/>
      <c r="F99" s="212"/>
      <c r="G99" s="11"/>
      <c r="H99" s="11"/>
      <c r="I99" s="11"/>
      <c r="J99" s="11"/>
      <c r="K99" s="11"/>
      <c r="L99" s="11"/>
      <c r="M99" s="11"/>
      <c r="N99" s="11"/>
      <c r="O99" s="11"/>
      <c r="P99" s="11"/>
      <c r="Q99" s="11"/>
      <c r="R99" s="11"/>
      <c r="S99" s="11"/>
      <c r="T99" s="11"/>
      <c r="U99" s="11"/>
      <c r="V99" s="11"/>
      <c r="W99" s="11"/>
      <c r="X99" s="11"/>
      <c r="Y99" s="11"/>
      <c r="Z99" s="11"/>
    </row>
    <row r="100" ht="15.75" customHeight="1">
      <c r="A100" s="11"/>
      <c r="B100" s="210" t="s">
        <v>380</v>
      </c>
      <c r="C100" s="211" t="s">
        <v>381</v>
      </c>
      <c r="G100" s="11"/>
      <c r="H100" s="11"/>
      <c r="I100" s="11"/>
      <c r="J100" s="11"/>
      <c r="K100" s="11"/>
      <c r="L100" s="11"/>
      <c r="M100" s="11"/>
      <c r="N100" s="11"/>
      <c r="O100" s="11"/>
      <c r="P100" s="11"/>
      <c r="Q100" s="11"/>
      <c r="R100" s="11"/>
      <c r="S100" s="11"/>
      <c r="T100" s="11"/>
      <c r="U100" s="11"/>
      <c r="V100" s="11"/>
      <c r="W100" s="11"/>
      <c r="X100" s="11"/>
      <c r="Y100" s="11"/>
      <c r="Z100" s="11"/>
    </row>
    <row r="101" ht="15.0" customHeight="1">
      <c r="A101" s="11"/>
      <c r="B101" s="212"/>
      <c r="C101" s="212"/>
      <c r="D101" s="212"/>
      <c r="E101" s="212"/>
      <c r="F101" s="212"/>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210" t="s">
        <v>382</v>
      </c>
      <c r="C102" s="211" t="s">
        <v>383</v>
      </c>
      <c r="G102" s="11"/>
      <c r="H102" s="11"/>
      <c r="I102" s="11"/>
      <c r="J102" s="11"/>
      <c r="K102" s="11"/>
      <c r="L102" s="11"/>
      <c r="M102" s="11"/>
      <c r="N102" s="11"/>
      <c r="O102" s="11"/>
      <c r="P102" s="11"/>
      <c r="Q102" s="11"/>
      <c r="R102" s="11"/>
      <c r="S102" s="11"/>
      <c r="T102" s="11"/>
      <c r="U102" s="11"/>
      <c r="V102" s="11"/>
      <c r="W102" s="11"/>
      <c r="X102" s="11"/>
      <c r="Y102" s="11"/>
      <c r="Z102" s="11"/>
    </row>
    <row r="103" ht="15.0" customHeight="1">
      <c r="A103" s="11"/>
      <c r="B103" s="212"/>
      <c r="C103" s="212"/>
      <c r="D103" s="212"/>
      <c r="E103" s="212"/>
      <c r="F103" s="212"/>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210" t="s">
        <v>384</v>
      </c>
      <c r="C104" s="211" t="s">
        <v>385</v>
      </c>
      <c r="G104" s="11"/>
      <c r="H104" s="11"/>
      <c r="I104" s="11"/>
      <c r="J104" s="11"/>
      <c r="K104" s="11"/>
      <c r="L104" s="11"/>
      <c r="M104" s="11"/>
      <c r="N104" s="11"/>
      <c r="O104" s="11"/>
      <c r="P104" s="11"/>
      <c r="Q104" s="11"/>
      <c r="R104" s="11"/>
      <c r="S104" s="11"/>
      <c r="T104" s="11"/>
      <c r="U104" s="11"/>
      <c r="V104" s="11"/>
      <c r="W104" s="11"/>
      <c r="X104" s="11"/>
      <c r="Y104" s="11"/>
      <c r="Z104" s="11"/>
    </row>
    <row r="105" ht="15.0" customHeight="1">
      <c r="A105" s="11"/>
      <c r="B105" s="212"/>
      <c r="C105" s="212"/>
      <c r="D105" s="212"/>
      <c r="E105" s="212"/>
      <c r="F105" s="212"/>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210" t="s">
        <v>386</v>
      </c>
      <c r="C106" s="211" t="s">
        <v>387</v>
      </c>
      <c r="G106" s="11"/>
      <c r="H106" s="11"/>
      <c r="I106" s="11"/>
      <c r="J106" s="11"/>
      <c r="K106" s="11"/>
      <c r="L106" s="11"/>
      <c r="M106" s="11"/>
      <c r="N106" s="11"/>
      <c r="O106" s="11"/>
      <c r="P106" s="11"/>
      <c r="Q106" s="11"/>
      <c r="R106" s="11"/>
      <c r="S106" s="11"/>
      <c r="T106" s="11"/>
      <c r="U106" s="11"/>
      <c r="V106" s="11"/>
      <c r="W106" s="11"/>
      <c r="X106" s="11"/>
      <c r="Y106" s="11"/>
      <c r="Z106" s="11"/>
    </row>
    <row r="107" ht="15.0" customHeight="1">
      <c r="A107" s="11"/>
      <c r="B107" s="212"/>
      <c r="C107" s="212"/>
      <c r="D107" s="212"/>
      <c r="E107" s="212"/>
      <c r="F107" s="212"/>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210" t="s">
        <v>388</v>
      </c>
      <c r="C108" s="211" t="s">
        <v>389</v>
      </c>
      <c r="G108" s="11"/>
      <c r="H108" s="11"/>
      <c r="I108" s="11"/>
      <c r="J108" s="11"/>
      <c r="K108" s="11"/>
      <c r="L108" s="11"/>
      <c r="M108" s="11"/>
      <c r="N108" s="11"/>
      <c r="O108" s="11"/>
      <c r="P108" s="11"/>
      <c r="Q108" s="11"/>
      <c r="R108" s="11"/>
      <c r="S108" s="11"/>
      <c r="T108" s="11"/>
      <c r="U108" s="11"/>
      <c r="V108" s="11"/>
      <c r="W108" s="11"/>
      <c r="X108" s="11"/>
      <c r="Y108" s="11"/>
      <c r="Z108" s="11"/>
    </row>
    <row r="109" ht="15.0" customHeight="1">
      <c r="A109" s="11"/>
      <c r="B109" s="212"/>
      <c r="C109" s="212"/>
      <c r="D109" s="212"/>
      <c r="E109" s="212"/>
      <c r="F109" s="212"/>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210" t="s">
        <v>390</v>
      </c>
      <c r="C110" s="211" t="s">
        <v>391</v>
      </c>
      <c r="G110" s="11"/>
      <c r="H110" s="11"/>
      <c r="I110" s="11"/>
      <c r="J110" s="11"/>
      <c r="K110" s="11"/>
      <c r="L110" s="11"/>
      <c r="M110" s="11"/>
      <c r="N110" s="11"/>
      <c r="O110" s="11"/>
      <c r="P110" s="11"/>
      <c r="Q110" s="11"/>
      <c r="R110" s="11"/>
      <c r="S110" s="11"/>
      <c r="T110" s="11"/>
      <c r="U110" s="11"/>
      <c r="V110" s="11"/>
      <c r="W110" s="11"/>
      <c r="X110" s="11"/>
      <c r="Y110" s="11"/>
      <c r="Z110" s="11"/>
    </row>
    <row r="111" ht="15.0" customHeight="1">
      <c r="A111" s="11"/>
      <c r="B111" s="212"/>
      <c r="C111" s="212"/>
      <c r="D111" s="212"/>
      <c r="E111" s="212"/>
      <c r="F111" s="212"/>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210" t="s">
        <v>392</v>
      </c>
      <c r="C112" s="211" t="s">
        <v>393</v>
      </c>
      <c r="G112" s="11"/>
      <c r="H112" s="11"/>
      <c r="I112" s="11"/>
      <c r="J112" s="11"/>
      <c r="K112" s="11"/>
      <c r="L112" s="11"/>
      <c r="M112" s="11"/>
      <c r="N112" s="11"/>
      <c r="O112" s="11"/>
      <c r="P112" s="11"/>
      <c r="Q112" s="11"/>
      <c r="R112" s="11"/>
      <c r="S112" s="11"/>
      <c r="T112" s="11"/>
      <c r="U112" s="11"/>
      <c r="V112" s="11"/>
      <c r="W112" s="11"/>
      <c r="X112" s="11"/>
      <c r="Y112" s="11"/>
      <c r="Z112" s="11"/>
    </row>
    <row r="113" ht="15.0" customHeight="1">
      <c r="A113" s="11"/>
      <c r="B113" s="212"/>
      <c r="C113" s="212"/>
      <c r="D113" s="212"/>
      <c r="E113" s="212"/>
      <c r="F113" s="212"/>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210" t="s">
        <v>394</v>
      </c>
      <c r="C114" s="211" t="s">
        <v>395</v>
      </c>
      <c r="G114" s="11"/>
      <c r="H114" s="11"/>
      <c r="I114" s="11"/>
      <c r="J114" s="11"/>
      <c r="K114" s="11"/>
      <c r="L114" s="11"/>
      <c r="M114" s="11"/>
      <c r="N114" s="11"/>
      <c r="O114" s="11"/>
      <c r="P114" s="11"/>
      <c r="Q114" s="11"/>
      <c r="R114" s="11"/>
      <c r="S114" s="11"/>
      <c r="T114" s="11"/>
      <c r="U114" s="11"/>
      <c r="V114" s="11"/>
      <c r="W114" s="11"/>
      <c r="X114" s="11"/>
      <c r="Y114" s="11"/>
      <c r="Z114" s="11"/>
    </row>
    <row r="115" ht="15.0" customHeight="1">
      <c r="A115" s="11"/>
      <c r="B115" s="212"/>
      <c r="C115" s="212"/>
      <c r="D115" s="212"/>
      <c r="E115" s="212"/>
      <c r="F115" s="212"/>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210" t="s">
        <v>396</v>
      </c>
      <c r="C116" s="211" t="s">
        <v>397</v>
      </c>
      <c r="G116" s="11"/>
      <c r="H116" s="11"/>
      <c r="I116" s="11"/>
      <c r="J116" s="11"/>
      <c r="K116" s="11"/>
      <c r="L116" s="11"/>
      <c r="M116" s="11"/>
      <c r="N116" s="11"/>
      <c r="O116" s="11"/>
      <c r="P116" s="11"/>
      <c r="Q116" s="11"/>
      <c r="R116" s="11"/>
      <c r="S116" s="11"/>
      <c r="T116" s="11"/>
      <c r="U116" s="11"/>
      <c r="V116" s="11"/>
      <c r="W116" s="11"/>
      <c r="X116" s="11"/>
      <c r="Y116" s="11"/>
      <c r="Z116" s="11"/>
    </row>
    <row r="117" ht="3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7.5" customHeight="1">
      <c r="A121" s="11"/>
      <c r="B121" s="11"/>
      <c r="C121" s="213" t="s">
        <v>398</v>
      </c>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3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3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3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37.5" customHeight="1">
      <c r="A126" s="6"/>
      <c r="B126" s="6"/>
      <c r="C126" s="214" t="str">
        <f>D4</f>
        <v>Benito Colon</v>
      </c>
      <c r="D126" s="215"/>
      <c r="E126" s="215"/>
      <c r="F126" s="6"/>
      <c r="G126" s="6"/>
      <c r="H126" s="6"/>
      <c r="I126" s="6"/>
      <c r="J126" s="6"/>
      <c r="K126" s="6"/>
      <c r="L126" s="6"/>
      <c r="M126" s="6"/>
      <c r="N126" s="6"/>
      <c r="O126" s="6"/>
      <c r="P126" s="6"/>
      <c r="Q126" s="6"/>
      <c r="R126" s="6"/>
      <c r="S126" s="6"/>
      <c r="T126" s="6"/>
      <c r="U126" s="6"/>
      <c r="V126" s="6"/>
      <c r="W126" s="6"/>
      <c r="X126" s="6"/>
      <c r="Y126" s="6"/>
      <c r="Z126" s="6"/>
    </row>
    <row r="127" ht="3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7.5" customHeight="1">
      <c r="A128" s="6"/>
      <c r="B128" s="6"/>
      <c r="H128" s="6"/>
      <c r="I128" s="6"/>
      <c r="J128" s="6"/>
      <c r="K128" s="6"/>
      <c r="L128" s="6"/>
      <c r="M128" s="6"/>
      <c r="N128" s="6"/>
      <c r="O128" s="6"/>
      <c r="P128" s="6"/>
      <c r="Q128" s="6"/>
      <c r="R128" s="6"/>
      <c r="S128" s="6"/>
      <c r="T128" s="6"/>
      <c r="U128" s="6"/>
      <c r="V128" s="6"/>
      <c r="W128" s="6"/>
      <c r="X128" s="6"/>
      <c r="Y128" s="6"/>
      <c r="Z128" s="6"/>
    </row>
    <row r="129" ht="3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2:E2"/>
    <mergeCell ref="D13:F13"/>
    <mergeCell ref="C16:F16"/>
    <mergeCell ref="C18:F18"/>
    <mergeCell ref="C23:F23"/>
    <mergeCell ref="C30:F30"/>
    <mergeCell ref="B32:G32"/>
    <mergeCell ref="B34:F34"/>
    <mergeCell ref="B37:D37"/>
    <mergeCell ref="B45:D45"/>
    <mergeCell ref="B59:G59"/>
    <mergeCell ref="B61:F61"/>
    <mergeCell ref="B64:D64"/>
    <mergeCell ref="B77:D77"/>
    <mergeCell ref="C106:F106"/>
    <mergeCell ref="C108:F108"/>
    <mergeCell ref="C110:F110"/>
    <mergeCell ref="C112:F112"/>
    <mergeCell ref="C114:F114"/>
    <mergeCell ref="C116:F116"/>
    <mergeCell ref="C126:E126"/>
    <mergeCell ref="B128:G128"/>
    <mergeCell ref="B91:G91"/>
    <mergeCell ref="B93:F93"/>
    <mergeCell ref="C96:F96"/>
    <mergeCell ref="C98:F98"/>
    <mergeCell ref="C100:F100"/>
    <mergeCell ref="C102:F102"/>
    <mergeCell ref="C104:F104"/>
  </mergeCells>
  <conditionalFormatting sqref="F78:F90">
    <cfRule type="cellIs" dxfId="3" priority="1" operator="equal">
      <formula>0</formula>
    </cfRule>
  </conditionalFormatting>
  <dataValidations>
    <dataValidation type="list" allowBlank="1" showErrorMessage="1" sqref="E65:E75">
      <formula1>"Phase 1,Phase 2,Phase 3,Phase 4,Phase 5,Phase 1 &amp; 2,Phase 2 &amp; 3"</formula1>
    </dataValidation>
    <dataValidation type="list" allowBlank="1" showErrorMessage="1" sqref="E78:E90">
      <formula1>"Upon Permits Approval,Paid,Waiting on Quote,N/A,Projected,Not on Initial Estimate"</formula1>
    </dataValidation>
    <dataValidation type="list" allowBlank="1" sqref="C13">
      <formula1>"Paint by Numbers,Quest,Making a Movie,Lost in the Fog"</formula1>
    </dataValidation>
    <dataValidation type="list" allowBlank="1" showErrorMessage="1" sqref="E38:E42 E46:E49 E51:E54">
      <formula1>"PAID,PENDING,UPON APPROVAL,N/A"</formula1>
    </dataValidation>
    <dataValidation type="list" allowBlank="1" sqref="C16">
      <formula1>DATA!$D$41:$D$42</formula1>
    </dataValidation>
    <dataValidation type="list" allowBlank="1" showErrorMessage="1" sqref="E50">
      <formula1>"PAID,PENDING,UPON APPROVAL,N/A,Ex. Categórica,REA/DEA"</formula1>
    </dataValidation>
    <dataValidation type="list" allowBlank="1" sqref="D8">
      <formula1>"Enter Version,1,2,3,4,5,6,7,8,9,10,11,12,13,14,15"</formula1>
    </dataValidation>
    <dataValidation type="list" allowBlank="1" sqref="D10">
      <formula1>"Enter Model,M1,M2,L1,L2,L3,mX,mXL"</formula1>
    </dataValidation>
  </dataValidations>
  <printOptions gridLines="1" horizontalCentered="1"/>
  <pageMargins bottom="0.75" footer="0.0" header="0.0" left="0.25" right="0.25" top="0.75"/>
  <pageSetup fitToHeight="0" paperSize="3"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78894"/>
    <outlinePr summaryBelow="0" summaryRight="0"/>
    <pageSetUpPr fitToPage="1"/>
  </sheetPr>
  <sheetViews>
    <sheetView showGridLines="0" workbookViewId="0"/>
  </sheetViews>
  <sheetFormatPr customHeight="1" defaultColWidth="12.63" defaultRowHeight="15.0"/>
  <cols>
    <col customWidth="1" min="1" max="1" width="12.63"/>
    <col customWidth="1" min="2" max="2" width="6.38"/>
    <col customWidth="1" min="3" max="3" width="25.13"/>
    <col customWidth="1" min="4" max="4" width="31.38"/>
    <col customWidth="1" min="5" max="5" width="25.38"/>
    <col customWidth="1" min="6" max="6" width="37.63"/>
    <col customWidth="1" min="7" max="7" width="6.38"/>
  </cols>
  <sheetData>
    <row r="1" ht="15.75" customHeight="1">
      <c r="A1" s="6"/>
      <c r="B1" s="6"/>
      <c r="C1" s="6"/>
      <c r="D1" s="6"/>
      <c r="E1" s="6"/>
      <c r="F1" s="6"/>
      <c r="G1" s="6"/>
      <c r="H1" s="6"/>
      <c r="I1" s="6"/>
      <c r="J1" s="6"/>
      <c r="K1" s="6"/>
      <c r="L1" s="6"/>
      <c r="M1" s="6"/>
      <c r="N1" s="6"/>
      <c r="O1" s="6"/>
      <c r="P1" s="6"/>
      <c r="Q1" s="6"/>
      <c r="R1" s="6"/>
      <c r="S1" s="6"/>
      <c r="T1" s="6"/>
      <c r="U1" s="6"/>
      <c r="V1" s="6"/>
      <c r="W1" s="6"/>
      <c r="X1" s="6"/>
      <c r="Y1" s="6"/>
      <c r="Z1" s="6"/>
    </row>
    <row r="2" ht="97.5" customHeight="1">
      <c r="A2" s="6"/>
      <c r="B2" s="130" t="s">
        <v>308</v>
      </c>
      <c r="F2" s="6"/>
      <c r="G2" s="6"/>
      <c r="H2" s="6"/>
      <c r="I2" s="6"/>
      <c r="J2" s="6"/>
      <c r="K2" s="6"/>
      <c r="L2" s="6"/>
      <c r="M2" s="6"/>
      <c r="N2" s="6"/>
      <c r="O2" s="6"/>
      <c r="P2" s="6"/>
      <c r="Q2" s="6"/>
      <c r="R2" s="6"/>
      <c r="S2" s="6"/>
      <c r="T2" s="6"/>
      <c r="U2" s="6"/>
      <c r="V2" s="6"/>
      <c r="W2" s="6"/>
      <c r="X2" s="6"/>
      <c r="Y2" s="6"/>
      <c r="Z2" s="6"/>
    </row>
    <row r="3" ht="37.5" customHeight="1">
      <c r="A3" s="6"/>
      <c r="B3" s="6"/>
      <c r="C3" s="6"/>
      <c r="D3" s="6"/>
      <c r="E3" s="6"/>
      <c r="F3" s="6"/>
      <c r="G3" s="6"/>
      <c r="H3" s="6"/>
      <c r="I3" s="6"/>
      <c r="J3" s="6"/>
      <c r="K3" s="6"/>
      <c r="L3" s="6"/>
      <c r="M3" s="6"/>
      <c r="N3" s="6"/>
      <c r="O3" s="6"/>
      <c r="P3" s="6"/>
      <c r="Q3" s="6"/>
      <c r="R3" s="6"/>
      <c r="S3" s="6"/>
      <c r="T3" s="6"/>
      <c r="U3" s="6"/>
      <c r="V3" s="6"/>
      <c r="W3" s="6"/>
      <c r="X3" s="6"/>
      <c r="Y3" s="6"/>
      <c r="Z3" s="6"/>
    </row>
    <row r="4" ht="37.5" customHeight="1">
      <c r="A4" s="6"/>
      <c r="B4" s="6"/>
      <c r="C4" s="6"/>
      <c r="D4" s="6"/>
      <c r="E4" s="6"/>
      <c r="F4" s="6"/>
      <c r="G4" s="6"/>
      <c r="H4" s="6"/>
      <c r="I4" s="6"/>
      <c r="J4" s="6"/>
      <c r="K4" s="6"/>
      <c r="L4" s="6"/>
      <c r="M4" s="6"/>
      <c r="N4" s="6"/>
      <c r="O4" s="6"/>
      <c r="P4" s="6"/>
      <c r="Q4" s="6"/>
      <c r="R4" s="6"/>
      <c r="S4" s="6"/>
      <c r="T4" s="6"/>
      <c r="U4" s="6"/>
      <c r="V4" s="6"/>
      <c r="W4" s="6"/>
      <c r="X4" s="6"/>
      <c r="Y4" s="6"/>
      <c r="Z4" s="6"/>
    </row>
    <row r="5" ht="37.5" customHeight="1">
      <c r="A5" s="6"/>
      <c r="B5" s="216"/>
      <c r="C5" s="217" t="s">
        <v>309</v>
      </c>
      <c r="D5" s="218" t="s">
        <v>402</v>
      </c>
      <c r="E5" s="34"/>
      <c r="F5" s="173" t="s">
        <v>311</v>
      </c>
      <c r="G5" s="6"/>
      <c r="H5" s="6"/>
      <c r="I5" s="6"/>
      <c r="J5" s="6"/>
      <c r="K5" s="6"/>
      <c r="L5" s="6"/>
      <c r="M5" s="6"/>
      <c r="N5" s="6"/>
      <c r="O5" s="6"/>
      <c r="P5" s="6"/>
      <c r="Q5" s="6"/>
      <c r="R5" s="6"/>
      <c r="S5" s="6"/>
      <c r="T5" s="6"/>
      <c r="U5" s="6"/>
      <c r="V5" s="6"/>
      <c r="W5" s="6"/>
      <c r="X5" s="6"/>
      <c r="Y5" s="6"/>
      <c r="Z5" s="6"/>
    </row>
    <row r="6" ht="15.75" customHeight="1">
      <c r="A6" s="6"/>
      <c r="B6" s="6"/>
      <c r="C6" s="34"/>
      <c r="D6" s="34"/>
      <c r="E6" s="34"/>
      <c r="F6" s="34"/>
      <c r="G6" s="6"/>
      <c r="H6" s="6"/>
      <c r="I6" s="6"/>
      <c r="J6" s="6"/>
      <c r="K6" s="6"/>
      <c r="L6" s="6"/>
      <c r="M6" s="6"/>
      <c r="N6" s="6"/>
      <c r="O6" s="6"/>
      <c r="P6" s="6"/>
      <c r="Q6" s="6"/>
      <c r="R6" s="6"/>
      <c r="S6" s="6"/>
      <c r="T6" s="6"/>
      <c r="U6" s="6"/>
      <c r="V6" s="6"/>
      <c r="W6" s="6"/>
      <c r="X6" s="6"/>
      <c r="Y6" s="6"/>
      <c r="Z6" s="6"/>
    </row>
    <row r="7" ht="37.5" customHeight="1">
      <c r="A7" s="6"/>
      <c r="B7" s="216"/>
      <c r="C7" s="217" t="s">
        <v>312</v>
      </c>
      <c r="D7" s="219">
        <f>TODAY()</f>
        <v>46043</v>
      </c>
      <c r="E7" s="139" t="b">
        <v>1</v>
      </c>
      <c r="F7" s="220" t="s">
        <v>313</v>
      </c>
      <c r="G7" s="6"/>
      <c r="H7" s="6"/>
      <c r="I7" s="6"/>
      <c r="J7" s="6"/>
      <c r="K7" s="6"/>
      <c r="L7" s="6"/>
      <c r="M7" s="6"/>
      <c r="N7" s="6"/>
      <c r="O7" s="6"/>
      <c r="P7" s="6"/>
      <c r="Q7" s="6"/>
      <c r="R7" s="6"/>
      <c r="S7" s="6"/>
      <c r="T7" s="6"/>
      <c r="U7" s="6"/>
      <c r="V7" s="6"/>
      <c r="W7" s="6"/>
      <c r="X7" s="6"/>
      <c r="Y7" s="6"/>
      <c r="Z7" s="6"/>
    </row>
    <row r="8" ht="15.75" customHeight="1">
      <c r="A8" s="6"/>
      <c r="B8" s="6"/>
      <c r="C8" s="34"/>
      <c r="D8" s="34"/>
      <c r="E8" s="139"/>
      <c r="F8" s="34"/>
      <c r="G8" s="6"/>
      <c r="H8" s="6"/>
      <c r="I8" s="6"/>
      <c r="J8" s="6"/>
      <c r="K8" s="6"/>
      <c r="L8" s="6"/>
      <c r="M8" s="6"/>
      <c r="N8" s="6"/>
      <c r="O8" s="6"/>
      <c r="P8" s="6"/>
      <c r="Q8" s="6"/>
      <c r="R8" s="6"/>
      <c r="S8" s="6"/>
      <c r="T8" s="6"/>
      <c r="U8" s="6"/>
      <c r="V8" s="6"/>
      <c r="W8" s="6"/>
      <c r="X8" s="6"/>
      <c r="Y8" s="6"/>
      <c r="Z8" s="6"/>
    </row>
    <row r="9" ht="37.5" customHeight="1">
      <c r="A9" s="6"/>
      <c r="B9" s="216"/>
      <c r="C9" s="217" t="s">
        <v>314</v>
      </c>
      <c r="D9" s="218">
        <v>3.0</v>
      </c>
      <c r="E9" s="139" t="b">
        <v>1</v>
      </c>
      <c r="F9" s="220" t="s">
        <v>315</v>
      </c>
      <c r="G9" s="6"/>
      <c r="H9" s="6"/>
      <c r="I9" s="6"/>
      <c r="J9" s="6"/>
      <c r="K9" s="6"/>
      <c r="L9" s="6"/>
      <c r="M9" s="6"/>
      <c r="N9" s="6"/>
      <c r="O9" s="6"/>
      <c r="P9" s="6"/>
      <c r="Q9" s="6"/>
      <c r="R9" s="6"/>
      <c r="S9" s="6"/>
      <c r="T9" s="6"/>
      <c r="U9" s="6"/>
      <c r="V9" s="6"/>
      <c r="W9" s="6"/>
      <c r="X9" s="6"/>
      <c r="Y9" s="6"/>
      <c r="Z9" s="6"/>
    </row>
    <row r="10" ht="15.75" customHeight="1">
      <c r="A10" s="6"/>
      <c r="B10" s="6"/>
      <c r="C10" s="34"/>
      <c r="D10" s="34"/>
      <c r="E10" s="139"/>
      <c r="F10" s="34"/>
      <c r="G10" s="6"/>
      <c r="H10" s="6"/>
      <c r="I10" s="6"/>
      <c r="J10" s="6"/>
      <c r="K10" s="6"/>
      <c r="L10" s="6"/>
      <c r="M10" s="6"/>
      <c r="N10" s="6"/>
      <c r="O10" s="6"/>
      <c r="P10" s="6"/>
      <c r="Q10" s="6"/>
      <c r="R10" s="6"/>
      <c r="S10" s="6"/>
      <c r="T10" s="6"/>
      <c r="U10" s="6"/>
      <c r="V10" s="6"/>
      <c r="W10" s="6"/>
      <c r="X10" s="6"/>
      <c r="Y10" s="6"/>
      <c r="Z10" s="6"/>
    </row>
    <row r="11" ht="37.5" customHeight="1">
      <c r="A11" s="6"/>
      <c r="B11" s="216"/>
      <c r="C11" s="217" t="s">
        <v>316</v>
      </c>
      <c r="D11" s="218" t="s">
        <v>317</v>
      </c>
      <c r="E11" s="139" t="b">
        <v>0</v>
      </c>
      <c r="F11" s="220" t="s">
        <v>318</v>
      </c>
      <c r="G11" s="6"/>
      <c r="H11" s="6"/>
      <c r="I11" s="6"/>
      <c r="J11" s="6"/>
      <c r="K11" s="6"/>
      <c r="L11" s="6"/>
      <c r="M11" s="6"/>
      <c r="N11" s="6"/>
      <c r="O11" s="6"/>
      <c r="P11" s="6"/>
      <c r="Q11" s="6"/>
      <c r="R11" s="6"/>
      <c r="S11" s="6"/>
      <c r="T11" s="6"/>
      <c r="U11" s="6"/>
      <c r="V11" s="6"/>
      <c r="W11" s="6"/>
      <c r="X11" s="6"/>
      <c r="Y11" s="6"/>
      <c r="Z11" s="6"/>
    </row>
    <row r="12" ht="37.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37.5" customHeight="1">
      <c r="A13" s="6"/>
      <c r="B13" s="221"/>
      <c r="C13" s="222" t="s">
        <v>319</v>
      </c>
      <c r="D13" s="223"/>
      <c r="E13" s="223"/>
      <c r="F13" s="223"/>
      <c r="G13" s="224"/>
      <c r="H13" s="6"/>
      <c r="I13" s="6"/>
      <c r="J13" s="6"/>
      <c r="K13" s="6"/>
      <c r="L13" s="6"/>
      <c r="M13" s="6"/>
      <c r="N13" s="6"/>
      <c r="O13" s="6"/>
      <c r="P13" s="6"/>
      <c r="Q13" s="6"/>
      <c r="R13" s="6"/>
      <c r="S13" s="6"/>
      <c r="T13" s="6"/>
      <c r="U13" s="6"/>
      <c r="V13" s="6"/>
      <c r="W13" s="6"/>
      <c r="X13" s="6"/>
      <c r="Y13" s="6"/>
      <c r="Z13" s="6"/>
    </row>
    <row r="14" ht="56.25" customHeight="1">
      <c r="A14" s="6"/>
      <c r="B14" s="225"/>
      <c r="C14" s="226" t="s">
        <v>81</v>
      </c>
      <c r="D14" s="227" t="str">
        <f>VLOOKUP(C14,DATA!B35:D38,3,FALSE)</f>
        <v>[MEDIUM RISK] KONTi and it's stakeholders are sure of what should be done, but unsure how we will achieve it. This project will need a strick control of time and cost. May have cost and time overruns. </v>
      </c>
      <c r="E14" s="228"/>
      <c r="F14" s="228"/>
      <c r="G14" s="229"/>
      <c r="H14" s="6"/>
      <c r="I14" s="6"/>
      <c r="J14" s="6"/>
      <c r="K14" s="6"/>
      <c r="L14" s="6"/>
      <c r="M14" s="6"/>
      <c r="N14" s="6"/>
      <c r="O14" s="6"/>
      <c r="P14" s="6"/>
      <c r="Q14" s="6"/>
      <c r="R14" s="6"/>
      <c r="S14" s="6"/>
      <c r="T14" s="6"/>
      <c r="U14" s="6"/>
      <c r="V14" s="6"/>
      <c r="W14" s="6"/>
      <c r="X14" s="6"/>
      <c r="Y14" s="6"/>
      <c r="Z14" s="6"/>
    </row>
    <row r="15" ht="15.75" customHeight="1">
      <c r="A15" s="6"/>
      <c r="B15" s="6"/>
      <c r="C15" s="34"/>
      <c r="D15" s="34"/>
      <c r="E15" s="34"/>
      <c r="F15" s="34"/>
      <c r="G15" s="34"/>
      <c r="H15" s="6"/>
      <c r="I15" s="6"/>
      <c r="J15" s="6"/>
      <c r="K15" s="6"/>
      <c r="L15" s="6"/>
      <c r="M15" s="6"/>
      <c r="N15" s="6"/>
      <c r="O15" s="6"/>
      <c r="P15" s="6"/>
      <c r="Q15" s="6"/>
      <c r="R15" s="6"/>
      <c r="S15" s="6"/>
      <c r="T15" s="6"/>
      <c r="U15" s="6"/>
      <c r="V15" s="6"/>
      <c r="W15" s="6"/>
      <c r="X15" s="6"/>
      <c r="Y15" s="6"/>
      <c r="Z15" s="6"/>
    </row>
    <row r="16" ht="37.5" customHeight="1">
      <c r="A16" s="6"/>
      <c r="B16" s="221"/>
      <c r="C16" s="222" t="s">
        <v>320</v>
      </c>
      <c r="D16" s="223"/>
      <c r="E16" s="223"/>
      <c r="F16" s="223"/>
      <c r="G16" s="224"/>
      <c r="H16" s="6"/>
      <c r="I16" s="6"/>
      <c r="J16" s="6"/>
      <c r="K16" s="6"/>
      <c r="L16" s="6"/>
      <c r="M16" s="6"/>
      <c r="N16" s="6"/>
      <c r="O16" s="6"/>
      <c r="P16" s="6"/>
      <c r="Q16" s="6"/>
      <c r="R16" s="6"/>
      <c r="S16" s="6"/>
      <c r="T16" s="6"/>
      <c r="U16" s="6"/>
      <c r="V16" s="6"/>
      <c r="W16" s="6"/>
      <c r="X16" s="6"/>
      <c r="Y16" s="6"/>
      <c r="Z16" s="6"/>
    </row>
    <row r="17" ht="56.25" customHeight="1">
      <c r="A17" s="6"/>
      <c r="B17" s="225"/>
      <c r="C17" s="230" t="s">
        <v>403</v>
      </c>
      <c r="D17" s="228"/>
      <c r="E17" s="228"/>
      <c r="F17" s="228"/>
      <c r="G17" s="229"/>
      <c r="H17" s="6"/>
      <c r="I17" s="6"/>
      <c r="J17" s="6"/>
      <c r="K17" s="6"/>
      <c r="L17" s="6"/>
      <c r="M17" s="6"/>
      <c r="N17" s="6"/>
      <c r="O17" s="6"/>
      <c r="P17" s="6"/>
      <c r="Q17" s="6"/>
      <c r="R17" s="6"/>
      <c r="S17" s="6"/>
      <c r="T17" s="6"/>
      <c r="U17" s="6"/>
      <c r="V17" s="6"/>
      <c r="W17" s="6"/>
      <c r="X17" s="6"/>
      <c r="Y17" s="6"/>
      <c r="Z17" s="6"/>
    </row>
    <row r="18" ht="3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37.5" customHeight="1">
      <c r="A19" s="6"/>
      <c r="B19" s="6"/>
      <c r="C19" s="6"/>
      <c r="D19" s="6"/>
      <c r="E19" s="96"/>
      <c r="F19" s="96"/>
      <c r="G19" s="6"/>
      <c r="H19" s="6"/>
      <c r="I19" s="6"/>
      <c r="J19" s="6"/>
      <c r="K19" s="6"/>
      <c r="L19" s="6"/>
      <c r="M19" s="6"/>
      <c r="N19" s="6"/>
      <c r="O19" s="6"/>
      <c r="P19" s="6"/>
      <c r="Q19" s="6"/>
      <c r="R19" s="6"/>
      <c r="S19" s="6"/>
      <c r="T19" s="6"/>
      <c r="U19" s="6"/>
      <c r="V19" s="6"/>
      <c r="W19" s="6"/>
      <c r="X19" s="6"/>
      <c r="Y19" s="6"/>
      <c r="Z19" s="6"/>
    </row>
    <row r="20" ht="37.5" customHeight="1">
      <c r="A20" s="6"/>
      <c r="B20" s="6"/>
      <c r="C20" s="222" t="s">
        <v>404</v>
      </c>
      <c r="D20" s="223"/>
      <c r="E20" s="223"/>
      <c r="F20" s="231">
        <f>SUM(E23:E26)</f>
        <v>328326.3277</v>
      </c>
      <c r="G20" s="6"/>
      <c r="H20" s="6"/>
      <c r="I20" s="6"/>
      <c r="J20" s="6"/>
      <c r="K20" s="6"/>
      <c r="L20" s="6"/>
      <c r="M20" s="6"/>
      <c r="N20" s="6"/>
      <c r="O20" s="6"/>
      <c r="P20" s="6"/>
      <c r="Q20" s="6"/>
      <c r="R20" s="6"/>
      <c r="S20" s="6"/>
      <c r="T20" s="6"/>
      <c r="U20" s="6"/>
      <c r="V20" s="6"/>
      <c r="W20" s="6"/>
      <c r="X20" s="6"/>
      <c r="Y20" s="6"/>
      <c r="Z20" s="6"/>
    </row>
    <row r="21" ht="37.5" customHeight="1">
      <c r="A21" s="6"/>
      <c r="B21" s="6"/>
      <c r="C21" s="232" t="s">
        <v>405</v>
      </c>
      <c r="D21" s="41"/>
      <c r="E21" s="41"/>
      <c r="F21" s="233">
        <f>SUMIF(E38:G96,"Paid",F38:F96)</f>
        <v>36224</v>
      </c>
      <c r="G21" s="6"/>
      <c r="H21" s="6"/>
      <c r="I21" s="6"/>
      <c r="J21" s="6"/>
      <c r="K21" s="6"/>
      <c r="L21" s="6"/>
      <c r="M21" s="6"/>
      <c r="N21" s="6"/>
      <c r="O21" s="6"/>
      <c r="P21" s="6"/>
      <c r="Q21" s="6"/>
      <c r="R21" s="6"/>
      <c r="S21" s="6"/>
      <c r="T21" s="6"/>
      <c r="U21" s="6"/>
      <c r="V21" s="6"/>
      <c r="W21" s="6"/>
      <c r="X21" s="6"/>
      <c r="Y21" s="6"/>
      <c r="Z21" s="6"/>
    </row>
    <row r="22" ht="37.5" customHeight="1">
      <c r="A22" s="6"/>
      <c r="B22" s="6"/>
      <c r="C22" s="232" t="s">
        <v>406</v>
      </c>
      <c r="D22" s="41"/>
      <c r="E22" s="41"/>
      <c r="F22" s="234">
        <f>F20-F21</f>
        <v>292102.3277</v>
      </c>
      <c r="G22" s="6"/>
      <c r="H22" s="6"/>
      <c r="I22" s="6"/>
      <c r="J22" s="6"/>
      <c r="K22" s="6"/>
      <c r="L22" s="6"/>
      <c r="M22" s="6"/>
      <c r="N22" s="6"/>
      <c r="O22" s="6"/>
      <c r="P22" s="6"/>
      <c r="Q22" s="6"/>
      <c r="R22" s="6"/>
      <c r="S22" s="6"/>
      <c r="T22" s="6"/>
      <c r="U22" s="6"/>
      <c r="V22" s="6"/>
      <c r="W22" s="6"/>
      <c r="X22" s="6"/>
      <c r="Y22" s="6"/>
      <c r="Z22" s="6"/>
    </row>
    <row r="23" ht="37.5" customHeight="1">
      <c r="A23" s="6"/>
      <c r="B23" s="6"/>
      <c r="C23" s="168" t="s">
        <v>407</v>
      </c>
      <c r="D23" s="11"/>
      <c r="E23" s="169">
        <f>F37</f>
        <v>33899</v>
      </c>
      <c r="F23" s="11"/>
      <c r="G23" s="6"/>
      <c r="H23" s="6"/>
      <c r="I23" s="6"/>
      <c r="J23" s="6"/>
      <c r="K23" s="6"/>
      <c r="L23" s="6"/>
      <c r="M23" s="6"/>
      <c r="N23" s="6"/>
      <c r="O23" s="6"/>
      <c r="P23" s="6"/>
      <c r="Q23" s="6"/>
      <c r="R23" s="6"/>
      <c r="S23" s="6"/>
      <c r="T23" s="6"/>
      <c r="U23" s="6"/>
      <c r="V23" s="6"/>
      <c r="W23" s="6"/>
      <c r="X23" s="6"/>
      <c r="Y23" s="6"/>
      <c r="Z23" s="6"/>
    </row>
    <row r="24" ht="37.5" customHeight="1">
      <c r="A24" s="6"/>
      <c r="B24" s="6"/>
      <c r="C24" s="168" t="s">
        <v>408</v>
      </c>
      <c r="D24" s="11"/>
      <c r="E24" s="169">
        <f>F45</f>
        <v>32529.66623</v>
      </c>
      <c r="F24" s="11"/>
      <c r="G24" s="6"/>
      <c r="H24" s="6"/>
      <c r="I24" s="6"/>
      <c r="J24" s="6"/>
      <c r="K24" s="6"/>
      <c r="L24" s="6"/>
      <c r="M24" s="6"/>
      <c r="N24" s="6"/>
      <c r="O24" s="6"/>
      <c r="P24" s="6"/>
      <c r="Q24" s="6"/>
      <c r="R24" s="6"/>
      <c r="S24" s="6"/>
      <c r="T24" s="6"/>
      <c r="U24" s="6"/>
      <c r="V24" s="6"/>
      <c r="W24" s="6"/>
      <c r="X24" s="6"/>
      <c r="Y24" s="6"/>
      <c r="Z24" s="6"/>
    </row>
    <row r="25" ht="37.5" customHeight="1">
      <c r="A25" s="6"/>
      <c r="B25" s="6"/>
      <c r="C25" s="168" t="s">
        <v>409</v>
      </c>
      <c r="D25" s="11"/>
      <c r="E25" s="169">
        <f>F70</f>
        <v>261897.6615</v>
      </c>
      <c r="F25" s="11"/>
      <c r="G25" s="6"/>
      <c r="H25" s="6"/>
      <c r="I25" s="6"/>
      <c r="J25" s="6"/>
      <c r="K25" s="6"/>
      <c r="L25" s="6"/>
      <c r="M25" s="6"/>
      <c r="N25" s="6"/>
      <c r="O25" s="6"/>
      <c r="P25" s="6"/>
      <c r="Q25" s="6"/>
      <c r="R25" s="6"/>
      <c r="S25" s="6"/>
      <c r="T25" s="6"/>
      <c r="U25" s="6"/>
      <c r="V25" s="6"/>
      <c r="W25" s="6"/>
      <c r="X25" s="6"/>
      <c r="Y25" s="6"/>
      <c r="Z25" s="6"/>
    </row>
    <row r="26" ht="37.5" customHeight="1">
      <c r="A26" s="6"/>
      <c r="B26" s="6"/>
      <c r="C26" s="168" t="s">
        <v>27</v>
      </c>
      <c r="D26" s="11"/>
      <c r="E26" s="169">
        <f>F83</f>
        <v>0</v>
      </c>
      <c r="F26" s="11"/>
      <c r="G26" s="6"/>
      <c r="H26" s="6"/>
      <c r="I26" s="6"/>
      <c r="J26" s="6"/>
      <c r="K26" s="6"/>
      <c r="L26" s="6"/>
      <c r="M26" s="6"/>
      <c r="N26" s="6"/>
      <c r="O26" s="6"/>
      <c r="P26" s="6"/>
      <c r="Q26" s="6"/>
      <c r="R26" s="6"/>
      <c r="S26" s="6"/>
      <c r="T26" s="6"/>
      <c r="U26" s="6"/>
      <c r="V26" s="6"/>
      <c r="W26" s="6"/>
      <c r="X26" s="6"/>
      <c r="Y26" s="6"/>
      <c r="Z26" s="6"/>
    </row>
    <row r="27" ht="37.5" customHeight="1">
      <c r="A27" s="6"/>
      <c r="B27" s="6"/>
      <c r="C27" s="173"/>
      <c r="D27" s="34"/>
      <c r="E27" s="34"/>
      <c r="F27" s="174"/>
      <c r="G27" s="6"/>
      <c r="H27" s="6"/>
      <c r="I27" s="6"/>
      <c r="J27" s="6"/>
      <c r="K27" s="6"/>
      <c r="L27" s="6"/>
      <c r="M27" s="6"/>
      <c r="N27" s="6"/>
      <c r="O27" s="6"/>
      <c r="P27" s="6"/>
      <c r="Q27" s="6"/>
      <c r="R27" s="6"/>
      <c r="S27" s="6"/>
      <c r="T27" s="6"/>
      <c r="U27" s="6"/>
      <c r="V27" s="6"/>
      <c r="W27" s="6"/>
      <c r="X27" s="6"/>
      <c r="Y27" s="6"/>
      <c r="Z27" s="6"/>
    </row>
    <row r="28" ht="37.5" customHeight="1">
      <c r="A28" s="6"/>
      <c r="B28" s="6"/>
      <c r="C28" s="222" t="s">
        <v>410</v>
      </c>
      <c r="D28" s="223"/>
      <c r="E28" s="223"/>
      <c r="F28" s="231">
        <f>IFERROR(SUM(E25:E26)*(DATA!C23-1),"-")</f>
        <v>39284.64923</v>
      </c>
      <c r="G28" s="6"/>
      <c r="H28" s="6"/>
      <c r="I28" s="6"/>
      <c r="J28" s="6"/>
      <c r="K28" s="6"/>
      <c r="L28" s="6"/>
      <c r="M28" s="6"/>
      <c r="N28" s="6"/>
      <c r="O28" s="6"/>
      <c r="P28" s="6"/>
      <c r="Q28" s="6"/>
      <c r="R28" s="6"/>
      <c r="S28" s="6"/>
      <c r="T28" s="6"/>
      <c r="U28" s="6"/>
      <c r="V28" s="6"/>
      <c r="W28" s="6"/>
      <c r="X28" s="6"/>
      <c r="Y28" s="6"/>
      <c r="Z28" s="6"/>
    </row>
    <row r="29" ht="75.0" customHeight="1">
      <c r="A29" s="6"/>
      <c r="B29" s="6"/>
      <c r="C29" s="235" t="s">
        <v>411</v>
      </c>
      <c r="D29" s="228"/>
      <c r="E29" s="228"/>
      <c r="F29" s="228"/>
      <c r="G29" s="6"/>
      <c r="H29" s="6"/>
      <c r="I29" s="6"/>
      <c r="J29" s="6"/>
      <c r="K29" s="6"/>
      <c r="L29" s="6"/>
      <c r="M29" s="6"/>
      <c r="N29" s="6"/>
      <c r="O29" s="6"/>
      <c r="P29" s="6"/>
      <c r="Q29" s="6"/>
      <c r="R29" s="6"/>
      <c r="S29" s="6"/>
      <c r="T29" s="6"/>
      <c r="U29" s="6"/>
      <c r="V29" s="6"/>
      <c r="W29" s="6"/>
      <c r="X29" s="6"/>
      <c r="Y29" s="6"/>
      <c r="Z29" s="6"/>
    </row>
    <row r="30" ht="3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37.5" customHeight="1">
      <c r="A31" s="6"/>
      <c r="B31" s="179" t="s">
        <v>333</v>
      </c>
      <c r="H31" s="6"/>
      <c r="I31" s="6"/>
      <c r="J31" s="6"/>
      <c r="K31" s="6"/>
      <c r="L31" s="6"/>
      <c r="M31" s="6"/>
      <c r="N31" s="6"/>
      <c r="O31" s="6"/>
      <c r="P31" s="6"/>
      <c r="Q31" s="6"/>
      <c r="R31" s="6"/>
      <c r="S31" s="6"/>
      <c r="T31" s="6"/>
      <c r="U31" s="6"/>
      <c r="V31" s="6"/>
      <c r="W31" s="6"/>
      <c r="X31" s="6"/>
      <c r="Y31" s="6"/>
      <c r="Z31" s="6"/>
    </row>
    <row r="32" ht="75.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37.5" customHeight="1">
      <c r="A33" s="6"/>
      <c r="B33" s="6"/>
      <c r="D33" s="6"/>
      <c r="E33" s="6"/>
      <c r="F33" s="6"/>
      <c r="G33" s="6"/>
      <c r="H33" s="6"/>
      <c r="I33" s="6"/>
      <c r="J33" s="6"/>
      <c r="K33" s="6"/>
      <c r="L33" s="6"/>
      <c r="M33" s="6"/>
      <c r="N33" s="6"/>
      <c r="O33" s="6"/>
      <c r="P33" s="6"/>
      <c r="Q33" s="6"/>
      <c r="R33" s="6"/>
      <c r="S33" s="6"/>
      <c r="T33" s="6"/>
      <c r="U33" s="6"/>
      <c r="V33" s="6"/>
      <c r="W33" s="6"/>
      <c r="X33" s="6"/>
      <c r="Y33" s="6"/>
      <c r="Z33" s="6"/>
    </row>
    <row r="34" ht="37.5" customHeight="1">
      <c r="A34" s="6"/>
      <c r="B34" s="180" t="s">
        <v>334</v>
      </c>
      <c r="F34" s="6"/>
      <c r="G34" s="6"/>
      <c r="H34" s="6"/>
      <c r="I34" s="6"/>
      <c r="J34" s="6"/>
      <c r="K34" s="6"/>
      <c r="L34" s="6"/>
      <c r="M34" s="6"/>
      <c r="N34" s="6"/>
      <c r="O34" s="6"/>
      <c r="P34" s="6"/>
      <c r="Q34" s="6"/>
      <c r="R34" s="6"/>
      <c r="S34" s="6"/>
      <c r="T34" s="6"/>
      <c r="U34" s="6"/>
      <c r="V34" s="6"/>
      <c r="W34" s="6"/>
      <c r="X34" s="6"/>
      <c r="Y34" s="6"/>
      <c r="Z34" s="6"/>
    </row>
    <row r="35" ht="3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3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7.5" customHeight="1">
      <c r="A37" s="6"/>
      <c r="B37" s="6"/>
      <c r="C37" s="181" t="s">
        <v>47</v>
      </c>
      <c r="D37" s="183"/>
      <c r="E37" s="11"/>
      <c r="F37" s="184">
        <f>SUM(F38:F42)</f>
        <v>33899</v>
      </c>
      <c r="G37" s="6"/>
      <c r="H37" s="6"/>
      <c r="I37" s="6"/>
      <c r="J37" s="6"/>
      <c r="K37" s="6"/>
      <c r="L37" s="6"/>
      <c r="M37" s="6"/>
      <c r="N37" s="6"/>
      <c r="O37" s="6"/>
      <c r="P37" s="6"/>
      <c r="Q37" s="6"/>
      <c r="R37" s="6"/>
      <c r="S37" s="6"/>
      <c r="T37" s="6"/>
      <c r="U37" s="6"/>
      <c r="V37" s="6"/>
      <c r="W37" s="6"/>
      <c r="X37" s="6"/>
      <c r="Y37" s="6"/>
      <c r="Z37" s="6"/>
    </row>
    <row r="38" ht="37.5" customHeight="1">
      <c r="A38" s="6"/>
      <c r="B38" s="6"/>
      <c r="C38" s="236" t="s">
        <v>412</v>
      </c>
      <c r="D38" s="237"/>
      <c r="E38" s="238" t="s">
        <v>336</v>
      </c>
      <c r="F38" s="239">
        <f>DATA!C3</f>
        <v>26500</v>
      </c>
      <c r="G38" s="6"/>
      <c r="H38" s="6"/>
      <c r="I38" s="6"/>
      <c r="J38" s="6"/>
      <c r="K38" s="6"/>
      <c r="L38" s="6"/>
      <c r="M38" s="6"/>
      <c r="N38" s="6"/>
      <c r="O38" s="6"/>
      <c r="P38" s="6"/>
      <c r="Q38" s="6"/>
      <c r="R38" s="6"/>
      <c r="S38" s="6"/>
      <c r="T38" s="6"/>
      <c r="U38" s="6"/>
      <c r="V38" s="6"/>
      <c r="W38" s="6"/>
      <c r="X38" s="6"/>
      <c r="Y38" s="6"/>
      <c r="Z38" s="6"/>
    </row>
    <row r="39" ht="37.5" customHeight="1">
      <c r="A39" s="6"/>
      <c r="B39" s="6"/>
      <c r="C39" s="240" t="s">
        <v>413</v>
      </c>
      <c r="D39" s="241"/>
      <c r="E39" s="242" t="s">
        <v>336</v>
      </c>
      <c r="F39" s="243">
        <f>DATA!C4</f>
        <v>5179</v>
      </c>
      <c r="G39" s="6"/>
      <c r="H39" s="6"/>
      <c r="I39" s="6"/>
      <c r="J39" s="6"/>
      <c r="K39" s="6"/>
      <c r="L39" s="6"/>
      <c r="M39" s="6"/>
      <c r="N39" s="6"/>
      <c r="O39" s="6"/>
      <c r="P39" s="6"/>
      <c r="Q39" s="6"/>
      <c r="R39" s="6"/>
      <c r="S39" s="6"/>
      <c r="T39" s="6"/>
      <c r="U39" s="6"/>
      <c r="V39" s="6"/>
      <c r="W39" s="6"/>
      <c r="X39" s="6"/>
      <c r="Y39" s="6"/>
      <c r="Z39" s="6"/>
    </row>
    <row r="40" ht="37.5" customHeight="1">
      <c r="A40" s="6"/>
      <c r="B40" s="6"/>
      <c r="C40" s="240" t="s">
        <v>414</v>
      </c>
      <c r="D40" s="241"/>
      <c r="E40" s="242" t="s">
        <v>336</v>
      </c>
      <c r="F40" s="243">
        <f>DATA!C5</f>
        <v>2220</v>
      </c>
      <c r="G40" s="6"/>
      <c r="H40" s="6"/>
      <c r="I40" s="6"/>
      <c r="J40" s="6"/>
      <c r="K40" s="6"/>
      <c r="L40" s="6"/>
      <c r="M40" s="6"/>
      <c r="N40" s="6"/>
      <c r="O40" s="6"/>
      <c r="P40" s="6"/>
      <c r="Q40" s="6"/>
      <c r="R40" s="6"/>
      <c r="S40" s="6"/>
      <c r="T40" s="6"/>
      <c r="U40" s="6"/>
      <c r="V40" s="6"/>
      <c r="W40" s="6"/>
      <c r="X40" s="6"/>
      <c r="Y40" s="6"/>
      <c r="Z40" s="6"/>
    </row>
    <row r="41" ht="37.5" customHeight="1">
      <c r="A41" s="6"/>
      <c r="B41" s="6"/>
      <c r="C41" s="240" t="s">
        <v>415</v>
      </c>
      <c r="D41" s="241"/>
      <c r="E41" s="242" t="s">
        <v>340</v>
      </c>
      <c r="F41" s="243">
        <f>DATA!C6</f>
        <v>0</v>
      </c>
      <c r="G41" s="6"/>
      <c r="H41" s="6"/>
      <c r="I41" s="6"/>
      <c r="J41" s="6"/>
      <c r="K41" s="6"/>
      <c r="L41" s="6"/>
      <c r="M41" s="6"/>
      <c r="N41" s="6"/>
      <c r="O41" s="6"/>
      <c r="P41" s="6"/>
      <c r="Q41" s="6"/>
      <c r="R41" s="6"/>
      <c r="S41" s="6"/>
      <c r="T41" s="6"/>
      <c r="U41" s="6"/>
      <c r="V41" s="6"/>
      <c r="W41" s="6"/>
      <c r="X41" s="6"/>
      <c r="Y41" s="6"/>
      <c r="Z41" s="6"/>
    </row>
    <row r="42" ht="37.5" customHeight="1">
      <c r="A42" s="6"/>
      <c r="B42" s="6"/>
      <c r="C42" s="244" t="s">
        <v>416</v>
      </c>
      <c r="D42" s="245"/>
      <c r="E42" s="246" t="s">
        <v>336</v>
      </c>
      <c r="F42" s="247">
        <f>DATA!C7</f>
        <v>0</v>
      </c>
      <c r="G42" s="6"/>
      <c r="H42" s="6"/>
      <c r="I42" s="6"/>
      <c r="J42" s="6"/>
      <c r="K42" s="6"/>
      <c r="L42" s="6"/>
      <c r="M42" s="6"/>
      <c r="N42" s="6"/>
      <c r="O42" s="6"/>
      <c r="P42" s="6"/>
      <c r="Q42" s="6"/>
      <c r="R42" s="6"/>
      <c r="S42" s="6"/>
      <c r="T42" s="6"/>
      <c r="U42" s="6"/>
      <c r="V42" s="6"/>
      <c r="W42" s="6"/>
      <c r="X42" s="6"/>
      <c r="Y42" s="6"/>
      <c r="Z42" s="6"/>
    </row>
    <row r="43" ht="3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3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7.5" customHeight="1">
      <c r="A45" s="6"/>
      <c r="B45" s="6"/>
      <c r="C45" s="181" t="s">
        <v>53</v>
      </c>
      <c r="D45" s="183"/>
      <c r="E45" s="11"/>
      <c r="F45" s="184">
        <f>SUM(F46:F54)</f>
        <v>32529.66623</v>
      </c>
      <c r="G45" s="6"/>
      <c r="H45" s="6"/>
      <c r="I45" s="6"/>
      <c r="J45" s="6"/>
      <c r="K45" s="6"/>
      <c r="L45" s="6"/>
      <c r="M45" s="6"/>
      <c r="N45" s="6"/>
      <c r="O45" s="6"/>
      <c r="P45" s="6"/>
      <c r="Q45" s="6"/>
      <c r="R45" s="6"/>
      <c r="S45" s="6"/>
      <c r="T45" s="6"/>
      <c r="U45" s="6"/>
      <c r="V45" s="6"/>
      <c r="W45" s="6"/>
      <c r="X45" s="6"/>
      <c r="Y45" s="6"/>
      <c r="Z45" s="6"/>
    </row>
    <row r="46" ht="37.5" customHeight="1">
      <c r="A46" s="6"/>
      <c r="B46" s="6"/>
      <c r="C46" s="236" t="s">
        <v>417</v>
      </c>
      <c r="D46" s="237"/>
      <c r="E46" s="238" t="s">
        <v>343</v>
      </c>
      <c r="F46" s="239">
        <f>DATA!C10</f>
        <v>13094.88308</v>
      </c>
      <c r="G46" s="6"/>
      <c r="H46" s="7"/>
      <c r="I46" s="6"/>
      <c r="J46" s="6"/>
      <c r="K46" s="6"/>
      <c r="L46" s="6"/>
      <c r="M46" s="6"/>
      <c r="N46" s="6"/>
      <c r="O46" s="6"/>
      <c r="P46" s="6"/>
      <c r="Q46" s="6"/>
      <c r="R46" s="6"/>
      <c r="S46" s="6"/>
      <c r="T46" s="6"/>
      <c r="U46" s="6"/>
      <c r="V46" s="6"/>
      <c r="W46" s="6"/>
      <c r="X46" s="6"/>
      <c r="Y46" s="6"/>
      <c r="Z46" s="6"/>
    </row>
    <row r="47" ht="37.5" customHeight="1">
      <c r="A47" s="6"/>
      <c r="B47" s="6"/>
      <c r="C47" s="240" t="s">
        <v>56</v>
      </c>
      <c r="D47" s="241"/>
      <c r="E47" s="242" t="s">
        <v>336</v>
      </c>
      <c r="F47" s="243">
        <f>DATA!C11</f>
        <v>2250</v>
      </c>
      <c r="G47" s="6"/>
      <c r="H47" s="6"/>
      <c r="I47" s="6"/>
      <c r="J47" s="6"/>
      <c r="K47" s="6"/>
      <c r="L47" s="6"/>
      <c r="M47" s="6"/>
      <c r="N47" s="6"/>
      <c r="O47" s="6"/>
      <c r="P47" s="6"/>
      <c r="Q47" s="6"/>
      <c r="R47" s="6"/>
      <c r="S47" s="6"/>
      <c r="T47" s="6"/>
      <c r="U47" s="6"/>
      <c r="V47" s="6"/>
      <c r="W47" s="6"/>
      <c r="X47" s="6"/>
      <c r="Y47" s="6"/>
      <c r="Z47" s="6"/>
    </row>
    <row r="48" ht="37.5" customHeight="1">
      <c r="A48" s="6"/>
      <c r="B48" s="6"/>
      <c r="C48" s="240" t="s">
        <v>58</v>
      </c>
      <c r="D48" s="241"/>
      <c r="E48" s="242" t="s">
        <v>346</v>
      </c>
      <c r="F48" s="243">
        <f>DATA!C12</f>
        <v>2250</v>
      </c>
      <c r="G48" s="6"/>
      <c r="H48" s="6"/>
      <c r="I48" s="6"/>
      <c r="J48" s="6"/>
      <c r="K48" s="6"/>
      <c r="L48" s="6"/>
      <c r="M48" s="6"/>
      <c r="N48" s="6"/>
      <c r="O48" s="6"/>
      <c r="P48" s="6"/>
      <c r="Q48" s="6"/>
      <c r="R48" s="6"/>
      <c r="S48" s="6"/>
      <c r="T48" s="6"/>
      <c r="U48" s="6"/>
      <c r="V48" s="6"/>
      <c r="W48" s="6"/>
      <c r="X48" s="6"/>
      <c r="Y48" s="6"/>
      <c r="Z48" s="6"/>
    </row>
    <row r="49" ht="37.5" customHeight="1">
      <c r="A49" s="6"/>
      <c r="B49" s="6"/>
      <c r="C49" s="240" t="s">
        <v>418</v>
      </c>
      <c r="D49" s="241"/>
      <c r="E49" s="242" t="s">
        <v>343</v>
      </c>
      <c r="F49" s="243">
        <f>DATA!C13</f>
        <v>2661.15</v>
      </c>
      <c r="G49" s="6"/>
      <c r="H49" s="6"/>
      <c r="I49" s="6"/>
      <c r="J49" s="6"/>
      <c r="K49" s="6"/>
      <c r="L49" s="6"/>
      <c r="M49" s="6"/>
      <c r="N49" s="6"/>
      <c r="O49" s="6"/>
      <c r="P49" s="6"/>
      <c r="Q49" s="6"/>
      <c r="R49" s="6"/>
      <c r="S49" s="6"/>
      <c r="T49" s="6"/>
      <c r="U49" s="6"/>
      <c r="V49" s="6"/>
      <c r="W49" s="6"/>
      <c r="X49" s="6"/>
      <c r="Y49" s="6"/>
      <c r="Z49" s="6"/>
    </row>
    <row r="50" ht="37.5" customHeight="1">
      <c r="A50" s="6"/>
      <c r="B50" s="6"/>
      <c r="C50" s="240" t="s">
        <v>419</v>
      </c>
      <c r="D50" s="241"/>
      <c r="E50" s="242" t="s">
        <v>336</v>
      </c>
      <c r="F50" s="243">
        <f>DATA!C14</f>
        <v>75</v>
      </c>
      <c r="G50" s="6"/>
      <c r="H50" s="6"/>
      <c r="I50" s="6"/>
      <c r="J50" s="6"/>
      <c r="K50" s="6"/>
      <c r="L50" s="6"/>
      <c r="M50" s="6"/>
      <c r="N50" s="6"/>
      <c r="O50" s="6"/>
      <c r="P50" s="6"/>
      <c r="Q50" s="6"/>
      <c r="R50" s="6"/>
      <c r="S50" s="6"/>
      <c r="T50" s="6"/>
      <c r="U50" s="6"/>
      <c r="V50" s="6"/>
      <c r="W50" s="6"/>
      <c r="X50" s="6"/>
      <c r="Y50" s="6"/>
      <c r="Z50" s="6"/>
    </row>
    <row r="51" ht="37.5" customHeight="1">
      <c r="A51" s="6"/>
      <c r="B51" s="6"/>
      <c r="C51" s="240" t="s">
        <v>420</v>
      </c>
      <c r="D51" s="241"/>
      <c r="E51" s="242" t="s">
        <v>343</v>
      </c>
      <c r="F51" s="243">
        <f>DATA!C15</f>
        <v>2898.633151</v>
      </c>
      <c r="G51" s="6"/>
      <c r="H51" s="6"/>
      <c r="I51" s="6"/>
      <c r="J51" s="6"/>
      <c r="K51" s="6"/>
      <c r="L51" s="6"/>
      <c r="M51" s="6"/>
      <c r="N51" s="6"/>
      <c r="O51" s="6"/>
      <c r="P51" s="6"/>
      <c r="Q51" s="6"/>
      <c r="R51" s="6"/>
      <c r="S51" s="6"/>
      <c r="T51" s="6"/>
      <c r="U51" s="6"/>
      <c r="V51" s="6"/>
      <c r="W51" s="6"/>
      <c r="X51" s="6"/>
      <c r="Y51" s="6"/>
      <c r="Z51" s="6"/>
    </row>
    <row r="52" ht="37.5" customHeight="1">
      <c r="A52" s="6"/>
      <c r="B52" s="6"/>
      <c r="C52" s="240" t="s">
        <v>421</v>
      </c>
      <c r="D52" s="241"/>
      <c r="E52" s="242" t="s">
        <v>343</v>
      </c>
      <c r="F52" s="243">
        <f>DATA!C16</f>
        <v>300</v>
      </c>
      <c r="G52" s="6"/>
      <c r="H52" s="6"/>
      <c r="I52" s="6"/>
      <c r="J52" s="6"/>
      <c r="K52" s="6"/>
      <c r="L52" s="6"/>
      <c r="M52" s="6"/>
      <c r="N52" s="6"/>
      <c r="O52" s="6"/>
      <c r="P52" s="6"/>
      <c r="Q52" s="6"/>
      <c r="R52" s="6"/>
      <c r="S52" s="6"/>
      <c r="T52" s="6"/>
      <c r="U52" s="6"/>
      <c r="V52" s="6"/>
      <c r="W52" s="6"/>
      <c r="X52" s="6"/>
      <c r="Y52" s="6"/>
      <c r="Z52" s="6"/>
    </row>
    <row r="53" ht="37.5" customHeight="1">
      <c r="A53" s="6"/>
      <c r="B53" s="6"/>
      <c r="C53" s="240" t="s">
        <v>422</v>
      </c>
      <c r="D53" s="241"/>
      <c r="E53" s="242" t="s">
        <v>343</v>
      </c>
      <c r="F53" s="243">
        <f>DATA!C17</f>
        <v>0</v>
      </c>
      <c r="G53" s="6"/>
      <c r="H53" s="6"/>
      <c r="I53" s="6"/>
      <c r="J53" s="6"/>
      <c r="K53" s="6"/>
      <c r="L53" s="6"/>
      <c r="M53" s="6"/>
      <c r="N53" s="6"/>
      <c r="O53" s="6"/>
      <c r="P53" s="6"/>
      <c r="Q53" s="6"/>
      <c r="R53" s="6"/>
      <c r="S53" s="6"/>
      <c r="T53" s="6"/>
      <c r="U53" s="6"/>
      <c r="V53" s="6"/>
      <c r="W53" s="6"/>
      <c r="X53" s="6"/>
      <c r="Y53" s="6"/>
      <c r="Z53" s="6"/>
    </row>
    <row r="54" ht="37.5" customHeight="1">
      <c r="A54" s="6"/>
      <c r="B54" s="6"/>
      <c r="C54" s="244" t="s">
        <v>423</v>
      </c>
      <c r="D54" s="245"/>
      <c r="E54" s="246" t="s">
        <v>343</v>
      </c>
      <c r="F54" s="247">
        <f>DATA!C18</f>
        <v>9000</v>
      </c>
      <c r="G54" s="6"/>
      <c r="H54" s="6"/>
      <c r="I54" s="6"/>
      <c r="J54" s="6"/>
      <c r="K54" s="6"/>
      <c r="L54" s="6"/>
      <c r="M54" s="6"/>
      <c r="N54" s="6"/>
      <c r="O54" s="6"/>
      <c r="P54" s="6"/>
      <c r="Q54" s="6"/>
      <c r="R54" s="6"/>
      <c r="S54" s="6"/>
      <c r="T54" s="6"/>
      <c r="U54" s="6"/>
      <c r="V54" s="6"/>
      <c r="W54" s="6"/>
      <c r="X54" s="6"/>
      <c r="Y54" s="6"/>
      <c r="Z54" s="6"/>
    </row>
    <row r="55" ht="3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3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3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3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3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3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3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3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3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3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37.5" customHeight="1">
      <c r="A65" s="6"/>
      <c r="B65" s="179" t="s">
        <v>333</v>
      </c>
      <c r="H65" s="6"/>
      <c r="I65" s="6"/>
      <c r="J65" s="6"/>
      <c r="K65" s="6"/>
      <c r="L65" s="6"/>
      <c r="M65" s="6"/>
      <c r="N65" s="6"/>
      <c r="O65" s="6"/>
      <c r="P65" s="6"/>
      <c r="Q65" s="6"/>
      <c r="R65" s="6"/>
      <c r="S65" s="6"/>
      <c r="T65" s="6"/>
      <c r="U65" s="6"/>
      <c r="V65" s="6"/>
      <c r="W65" s="6"/>
      <c r="X65" s="6"/>
      <c r="Y65" s="6"/>
      <c r="Z65" s="6"/>
    </row>
    <row r="66" ht="3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37.5" customHeight="1">
      <c r="A67" s="6"/>
      <c r="B67" s="180" t="s">
        <v>353</v>
      </c>
      <c r="F67" s="6"/>
      <c r="G67" s="6"/>
      <c r="H67" s="6"/>
      <c r="I67" s="6"/>
      <c r="J67" s="6"/>
      <c r="K67" s="6"/>
      <c r="L67" s="6"/>
      <c r="M67" s="6"/>
      <c r="N67" s="6"/>
      <c r="O67" s="6"/>
      <c r="P67" s="6"/>
      <c r="Q67" s="6"/>
      <c r="R67" s="6"/>
      <c r="S67" s="6"/>
      <c r="T67" s="6"/>
      <c r="U67" s="6"/>
      <c r="V67" s="6"/>
      <c r="W67" s="6"/>
      <c r="X67" s="6"/>
      <c r="Y67" s="6"/>
      <c r="Z67" s="6"/>
    </row>
    <row r="68" ht="3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3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37.5" customHeight="1">
      <c r="A70" s="6"/>
      <c r="B70" s="6"/>
      <c r="C70" s="181" t="s">
        <v>354</v>
      </c>
      <c r="D70" s="183"/>
      <c r="E70" s="11"/>
      <c r="F70" s="184">
        <f>SUM(F71:F81)</f>
        <v>261897.6615</v>
      </c>
      <c r="G70" s="6"/>
      <c r="H70" s="6"/>
      <c r="I70" s="6"/>
      <c r="J70" s="6"/>
      <c r="K70" s="6"/>
      <c r="L70" s="6"/>
      <c r="M70" s="6"/>
      <c r="N70" s="6"/>
      <c r="O70" s="6"/>
      <c r="P70" s="6"/>
      <c r="Q70" s="6"/>
      <c r="R70" s="6"/>
      <c r="S70" s="6"/>
      <c r="T70" s="6"/>
      <c r="U70" s="6"/>
      <c r="V70" s="6"/>
      <c r="W70" s="6"/>
      <c r="X70" s="6"/>
      <c r="Y70" s="6"/>
      <c r="Z70" s="6"/>
    </row>
    <row r="71" ht="37.5" customHeight="1">
      <c r="A71" s="6"/>
      <c r="B71" s="6"/>
      <c r="C71" s="236" t="s">
        <v>355</v>
      </c>
      <c r="D71" s="237"/>
      <c r="E71" s="248" t="s">
        <v>138</v>
      </c>
      <c r="F71" s="239">
        <f>SUM('PRODUCT PHASES 1-5'!J2:J4)*DATA!C22</f>
        <v>20400</v>
      </c>
      <c r="G71" s="6"/>
      <c r="H71" s="6"/>
      <c r="I71" s="6"/>
      <c r="J71" s="6"/>
      <c r="K71" s="6"/>
      <c r="L71" s="6"/>
      <c r="M71" s="6"/>
      <c r="N71" s="6"/>
      <c r="O71" s="6"/>
      <c r="P71" s="6"/>
      <c r="Q71" s="6"/>
      <c r="R71" s="6"/>
      <c r="S71" s="6"/>
      <c r="T71" s="6"/>
      <c r="U71" s="6"/>
      <c r="V71" s="6"/>
      <c r="W71" s="6"/>
      <c r="X71" s="6"/>
      <c r="Y71" s="6"/>
      <c r="Z71" s="6"/>
    </row>
    <row r="72" ht="37.5" customHeight="1">
      <c r="A72" s="6"/>
      <c r="B72" s="6"/>
      <c r="C72" s="240" t="s">
        <v>356</v>
      </c>
      <c r="D72" s="241"/>
      <c r="E72" s="96" t="s">
        <v>138</v>
      </c>
      <c r="F72" s="243">
        <f>SUM('PRODUCT PHASES 1-5'!J6:J12)*DATA!C22</f>
        <v>30718.038</v>
      </c>
      <c r="G72" s="6"/>
      <c r="H72" s="6"/>
      <c r="I72" s="6"/>
      <c r="J72" s="6"/>
      <c r="K72" s="6"/>
      <c r="L72" s="6"/>
      <c r="M72" s="6"/>
      <c r="N72" s="6"/>
      <c r="O72" s="6"/>
      <c r="P72" s="6"/>
      <c r="Q72" s="6"/>
      <c r="R72" s="6"/>
      <c r="S72" s="6"/>
      <c r="T72" s="6"/>
      <c r="U72" s="6"/>
      <c r="V72" s="6"/>
      <c r="W72" s="6"/>
      <c r="X72" s="6"/>
      <c r="Y72" s="6"/>
      <c r="Z72" s="6"/>
    </row>
    <row r="73" ht="37.5" customHeight="1">
      <c r="A73" s="6"/>
      <c r="B73" s="6"/>
      <c r="C73" s="240" t="s">
        <v>357</v>
      </c>
      <c r="D73" s="241"/>
      <c r="E73" s="96" t="s">
        <v>138</v>
      </c>
      <c r="F73" s="243">
        <f>SUM('PRODUCT PHASES 1-5'!J13:J16)*DATA!C22</f>
        <v>19200</v>
      </c>
      <c r="G73" s="6"/>
      <c r="H73" s="6"/>
      <c r="I73" s="6"/>
      <c r="J73" s="6"/>
      <c r="K73" s="6"/>
      <c r="L73" s="6"/>
      <c r="M73" s="6"/>
      <c r="N73" s="6"/>
      <c r="O73" s="6"/>
      <c r="P73" s="6"/>
      <c r="Q73" s="6"/>
      <c r="R73" s="6"/>
      <c r="S73" s="6"/>
      <c r="T73" s="6"/>
      <c r="U73" s="6"/>
      <c r="V73" s="6"/>
      <c r="W73" s="6"/>
      <c r="X73" s="6"/>
      <c r="Y73" s="6"/>
      <c r="Z73" s="6"/>
    </row>
    <row r="74" ht="37.5" customHeight="1">
      <c r="A74" s="6"/>
      <c r="B74" s="6"/>
      <c r="C74" s="240" t="s">
        <v>359</v>
      </c>
      <c r="D74" s="241"/>
      <c r="E74" s="96" t="s">
        <v>149</v>
      </c>
      <c r="F74" s="243">
        <f>SUM('PRODUCT PHASES 1-5'!J17:J30)*DATA!C22</f>
        <v>54637.0755</v>
      </c>
      <c r="G74" s="6"/>
      <c r="H74" s="6"/>
      <c r="I74" s="6"/>
      <c r="J74" s="6"/>
      <c r="K74" s="6"/>
      <c r="L74" s="6"/>
      <c r="M74" s="6"/>
      <c r="N74" s="6"/>
      <c r="O74" s="6"/>
      <c r="P74" s="6"/>
      <c r="Q74" s="6"/>
      <c r="R74" s="6"/>
      <c r="S74" s="6"/>
      <c r="T74" s="6"/>
      <c r="U74" s="6"/>
      <c r="V74" s="6"/>
      <c r="W74" s="6"/>
      <c r="X74" s="6"/>
      <c r="Y74" s="6"/>
      <c r="Z74" s="6"/>
    </row>
    <row r="75" ht="37.5" customHeight="1">
      <c r="A75" s="6"/>
      <c r="B75" s="6"/>
      <c r="C75" s="240" t="s">
        <v>360</v>
      </c>
      <c r="D75" s="241"/>
      <c r="E75" s="96" t="s">
        <v>153</v>
      </c>
      <c r="F75" s="243">
        <f>SUM('PRODUCT PHASES 1-5'!J35:J48)*DATA!C22</f>
        <v>34731.798</v>
      </c>
      <c r="G75" s="6"/>
      <c r="H75" s="6"/>
      <c r="I75" s="6"/>
      <c r="J75" s="6"/>
      <c r="K75" s="6"/>
      <c r="L75" s="6"/>
      <c r="M75" s="6"/>
      <c r="N75" s="6"/>
      <c r="O75" s="6"/>
      <c r="P75" s="6"/>
      <c r="Q75" s="6"/>
      <c r="R75" s="6"/>
      <c r="S75" s="6"/>
      <c r="T75" s="6"/>
      <c r="U75" s="6"/>
      <c r="V75" s="6"/>
      <c r="W75" s="6"/>
      <c r="X75" s="6"/>
      <c r="Y75" s="6"/>
      <c r="Z75" s="6"/>
    </row>
    <row r="76" ht="37.5" customHeight="1">
      <c r="A76" s="6"/>
      <c r="B76" s="6"/>
      <c r="C76" s="240" t="s">
        <v>361</v>
      </c>
      <c r="D76" s="6"/>
      <c r="E76" s="96" t="s">
        <v>153</v>
      </c>
      <c r="F76" s="243">
        <f>SUM('PRODUCT PHASES 1-5'!J49:J60)*DATA!C22</f>
        <v>12921.864</v>
      </c>
      <c r="G76" s="6"/>
      <c r="H76" s="6"/>
      <c r="I76" s="6"/>
      <c r="J76" s="6"/>
      <c r="K76" s="6"/>
      <c r="L76" s="6"/>
      <c r="M76" s="6"/>
      <c r="N76" s="6"/>
      <c r="O76" s="6"/>
      <c r="P76" s="6"/>
      <c r="Q76" s="6"/>
      <c r="R76" s="6"/>
      <c r="S76" s="6"/>
      <c r="T76" s="6"/>
      <c r="U76" s="6"/>
      <c r="V76" s="6"/>
      <c r="W76" s="6"/>
      <c r="X76" s="6"/>
      <c r="Y76" s="6"/>
      <c r="Z76" s="6"/>
    </row>
    <row r="77" ht="37.5" customHeight="1">
      <c r="A77" s="6"/>
      <c r="B77" s="6"/>
      <c r="C77" s="240" t="s">
        <v>362</v>
      </c>
      <c r="D77" s="241"/>
      <c r="E77" s="96" t="s">
        <v>159</v>
      </c>
      <c r="F77" s="243">
        <f>SUM('PRODUCT PHASES 1-5'!J31:J34,'PRODUCT PHASES 1-5'!J61:J62)*DATA!C22</f>
        <v>20825.67</v>
      </c>
      <c r="G77" s="6"/>
      <c r="H77" s="6"/>
      <c r="I77" s="6"/>
      <c r="J77" s="6"/>
      <c r="K77" s="6"/>
      <c r="L77" s="6"/>
      <c r="M77" s="6"/>
      <c r="N77" s="6"/>
      <c r="O77" s="6"/>
      <c r="P77" s="6"/>
      <c r="Q77" s="6"/>
      <c r="R77" s="6"/>
      <c r="S77" s="6"/>
      <c r="T77" s="6"/>
      <c r="U77" s="6"/>
      <c r="V77" s="6"/>
      <c r="W77" s="6"/>
      <c r="X77" s="6"/>
      <c r="Y77" s="6"/>
      <c r="Z77" s="6"/>
    </row>
    <row r="78" ht="37.5" customHeight="1">
      <c r="A78" s="6"/>
      <c r="B78" s="6"/>
      <c r="C78" s="240" t="s">
        <v>364</v>
      </c>
      <c r="D78" s="6"/>
      <c r="E78" s="96" t="s">
        <v>159</v>
      </c>
      <c r="F78" s="243">
        <f>SUM('PRODUCT PHASES 1-5'!J63:J76)*DATA!C22</f>
        <v>24614.136</v>
      </c>
      <c r="G78" s="6"/>
      <c r="H78" s="6"/>
      <c r="I78" s="6"/>
      <c r="J78" s="6"/>
      <c r="K78" s="6"/>
      <c r="L78" s="6"/>
      <c r="M78" s="6"/>
      <c r="N78" s="6"/>
      <c r="O78" s="6"/>
      <c r="P78" s="6"/>
      <c r="Q78" s="6"/>
      <c r="R78" s="6"/>
      <c r="S78" s="6"/>
      <c r="T78" s="6"/>
      <c r="U78" s="6"/>
      <c r="V78" s="6"/>
      <c r="W78" s="6"/>
      <c r="X78" s="6"/>
      <c r="Y78" s="6"/>
      <c r="Z78" s="6"/>
    </row>
    <row r="79" ht="37.5" customHeight="1">
      <c r="A79" s="6"/>
      <c r="B79" s="6"/>
      <c r="C79" s="240" t="s">
        <v>365</v>
      </c>
      <c r="D79" s="6"/>
      <c r="E79" s="96" t="s">
        <v>159</v>
      </c>
      <c r="F79" s="243">
        <f>SUM('PRODUCT PHASES 1-5'!J77:J79)*DATA!C22</f>
        <v>22200</v>
      </c>
      <c r="G79" s="6"/>
      <c r="H79" s="6"/>
      <c r="I79" s="6"/>
      <c r="J79" s="6"/>
      <c r="K79" s="6"/>
      <c r="L79" s="6"/>
      <c r="M79" s="6"/>
      <c r="N79" s="6"/>
      <c r="O79" s="6"/>
      <c r="P79" s="6"/>
      <c r="Q79" s="6"/>
      <c r="R79" s="6"/>
      <c r="S79" s="6"/>
      <c r="T79" s="6"/>
      <c r="U79" s="6"/>
      <c r="V79" s="6"/>
      <c r="W79" s="6"/>
      <c r="X79" s="6"/>
      <c r="Y79" s="6"/>
      <c r="Z79" s="6"/>
    </row>
    <row r="80" ht="37.5" customHeight="1">
      <c r="A80" s="6"/>
      <c r="B80" s="6"/>
      <c r="C80" s="240" t="s">
        <v>366</v>
      </c>
      <c r="D80" s="6"/>
      <c r="E80" s="96" t="s">
        <v>165</v>
      </c>
      <c r="F80" s="243">
        <f>SUM('PRODUCT PHASES 1-5'!J80:J89)*DATA!C22</f>
        <v>19249.08</v>
      </c>
      <c r="G80" s="6"/>
      <c r="H80" s="6"/>
      <c r="I80" s="6"/>
      <c r="J80" s="6"/>
      <c r="K80" s="6"/>
      <c r="L80" s="6"/>
      <c r="M80" s="6"/>
      <c r="N80" s="6"/>
      <c r="O80" s="6"/>
      <c r="P80" s="6"/>
      <c r="Q80" s="6"/>
      <c r="R80" s="6"/>
      <c r="S80" s="6"/>
      <c r="T80" s="6"/>
      <c r="U80" s="6"/>
      <c r="V80" s="6"/>
      <c r="W80" s="6"/>
      <c r="X80" s="6"/>
      <c r="Y80" s="6"/>
      <c r="Z80" s="6"/>
    </row>
    <row r="81" ht="37.5" customHeight="1">
      <c r="A81" s="6"/>
      <c r="B81" s="6"/>
      <c r="C81" s="244" t="s">
        <v>367</v>
      </c>
      <c r="D81" s="245"/>
      <c r="E81" s="249" t="s">
        <v>165</v>
      </c>
      <c r="F81" s="247">
        <f>'PRODUCT PHASES 1-5'!J90*DATA!C22</f>
        <v>2400</v>
      </c>
      <c r="G81" s="6"/>
      <c r="H81" s="6"/>
      <c r="I81" s="6"/>
      <c r="J81" s="6"/>
      <c r="K81" s="6"/>
      <c r="L81" s="6"/>
      <c r="M81" s="6"/>
      <c r="N81" s="6"/>
      <c r="O81" s="6"/>
      <c r="P81" s="6"/>
      <c r="Q81" s="6"/>
      <c r="R81" s="6"/>
      <c r="S81" s="6"/>
      <c r="T81" s="6"/>
      <c r="U81" s="6"/>
      <c r="V81" s="6"/>
      <c r="W81" s="6"/>
      <c r="X81" s="6"/>
      <c r="Y81" s="6"/>
      <c r="Z81" s="6"/>
    </row>
    <row r="82" ht="3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37.5" customHeight="1">
      <c r="A83" s="6"/>
      <c r="B83" s="6"/>
      <c r="C83" s="181" t="s">
        <v>27</v>
      </c>
      <c r="D83" s="183"/>
      <c r="E83" s="11"/>
      <c r="F83" s="250">
        <f>SUM(F84:F96)</f>
        <v>0</v>
      </c>
      <c r="G83" s="6"/>
      <c r="H83" s="6"/>
      <c r="I83" s="6"/>
      <c r="J83" s="6"/>
      <c r="K83" s="6"/>
      <c r="L83" s="6"/>
      <c r="M83" s="6"/>
      <c r="N83" s="6"/>
      <c r="O83" s="6"/>
      <c r="P83" s="6"/>
      <c r="Q83" s="6"/>
      <c r="R83" s="6"/>
      <c r="S83" s="6"/>
      <c r="T83" s="6"/>
      <c r="U83" s="6"/>
      <c r="V83" s="6"/>
      <c r="W83" s="6"/>
      <c r="X83" s="6"/>
      <c r="Y83" s="6"/>
      <c r="Z83" s="6"/>
    </row>
    <row r="84" ht="37.5" customHeight="1">
      <c r="A84" s="6"/>
      <c r="B84" s="6"/>
      <c r="C84" s="236" t="s">
        <v>69</v>
      </c>
      <c r="D84" s="237"/>
      <c r="E84" s="248"/>
      <c r="F84" s="239">
        <v>0.0</v>
      </c>
      <c r="G84" s="6"/>
      <c r="H84" s="6"/>
      <c r="I84" s="6"/>
      <c r="J84" s="6"/>
      <c r="K84" s="6"/>
      <c r="L84" s="6"/>
      <c r="M84" s="6"/>
      <c r="N84" s="6"/>
      <c r="O84" s="6"/>
      <c r="P84" s="6"/>
      <c r="Q84" s="6"/>
      <c r="R84" s="6"/>
      <c r="S84" s="6"/>
      <c r="T84" s="6"/>
      <c r="U84" s="6"/>
      <c r="V84" s="6"/>
      <c r="W84" s="6"/>
      <c r="X84" s="6"/>
      <c r="Y84" s="6"/>
      <c r="Z84" s="6"/>
    </row>
    <row r="85" ht="37.5" customHeight="1">
      <c r="A85" s="6"/>
      <c r="B85" s="6"/>
      <c r="C85" s="240" t="s">
        <v>369</v>
      </c>
      <c r="D85" s="241"/>
      <c r="E85" s="96"/>
      <c r="F85" s="243">
        <v>0.0</v>
      </c>
      <c r="G85" s="6"/>
      <c r="H85" s="6"/>
      <c r="I85" s="6"/>
      <c r="J85" s="6"/>
      <c r="K85" s="6"/>
      <c r="L85" s="6"/>
      <c r="M85" s="6"/>
      <c r="N85" s="6"/>
      <c r="O85" s="6"/>
      <c r="P85" s="6"/>
      <c r="Q85" s="6"/>
      <c r="R85" s="6"/>
      <c r="S85" s="6"/>
      <c r="T85" s="6"/>
      <c r="U85" s="6"/>
      <c r="V85" s="6"/>
      <c r="W85" s="6"/>
      <c r="X85" s="6"/>
      <c r="Y85" s="6"/>
      <c r="Z85" s="6"/>
    </row>
    <row r="86" ht="37.5" customHeight="1">
      <c r="A86" s="6"/>
      <c r="B86" s="6"/>
      <c r="C86" s="240" t="s">
        <v>370</v>
      </c>
      <c r="D86" s="241"/>
      <c r="E86" s="96"/>
      <c r="F86" s="243">
        <v>0.0</v>
      </c>
      <c r="G86" s="6"/>
      <c r="H86" s="6"/>
      <c r="I86" s="6"/>
      <c r="J86" s="6"/>
      <c r="K86" s="6"/>
      <c r="L86" s="6"/>
      <c r="M86" s="6"/>
      <c r="N86" s="6"/>
      <c r="O86" s="6"/>
      <c r="P86" s="6"/>
      <c r="Q86" s="6"/>
      <c r="R86" s="6"/>
      <c r="S86" s="6"/>
      <c r="T86" s="6"/>
      <c r="U86" s="6"/>
      <c r="V86" s="6"/>
      <c r="W86" s="6"/>
      <c r="X86" s="6"/>
      <c r="Y86" s="6"/>
      <c r="Z86" s="6"/>
    </row>
    <row r="87" ht="37.5" customHeight="1">
      <c r="A87" s="6"/>
      <c r="B87" s="6"/>
      <c r="C87" s="240" t="s">
        <v>272</v>
      </c>
      <c r="D87" s="241"/>
      <c r="E87" s="96"/>
      <c r="F87" s="243">
        <v>0.0</v>
      </c>
      <c r="G87" s="6"/>
      <c r="H87" s="6"/>
      <c r="I87" s="6"/>
      <c r="J87" s="6"/>
      <c r="K87" s="6"/>
      <c r="L87" s="6"/>
      <c r="M87" s="6"/>
      <c r="N87" s="6"/>
      <c r="O87" s="6"/>
      <c r="P87" s="6"/>
      <c r="Q87" s="6"/>
      <c r="R87" s="6"/>
      <c r="S87" s="6"/>
      <c r="T87" s="6"/>
      <c r="U87" s="6"/>
      <c r="V87" s="6"/>
      <c r="W87" s="6"/>
      <c r="X87" s="6"/>
      <c r="Y87" s="6"/>
      <c r="Z87" s="6"/>
    </row>
    <row r="88" ht="37.5" customHeight="1">
      <c r="A88" s="6"/>
      <c r="B88" s="6"/>
      <c r="C88" s="240" t="s">
        <v>276</v>
      </c>
      <c r="D88" s="241"/>
      <c r="E88" s="96"/>
      <c r="F88" s="243">
        <v>0.0</v>
      </c>
      <c r="G88" s="6"/>
      <c r="H88" s="6"/>
      <c r="I88" s="6"/>
      <c r="J88" s="6"/>
      <c r="K88" s="6"/>
      <c r="L88" s="6"/>
      <c r="M88" s="6"/>
      <c r="N88" s="6"/>
      <c r="O88" s="6"/>
      <c r="P88" s="6"/>
      <c r="Q88" s="6"/>
      <c r="R88" s="6"/>
      <c r="S88" s="6"/>
      <c r="T88" s="6"/>
      <c r="U88" s="6"/>
      <c r="V88" s="6"/>
      <c r="W88" s="6"/>
      <c r="X88" s="6"/>
      <c r="Y88" s="6"/>
      <c r="Z88" s="6"/>
    </row>
    <row r="89" ht="37.5" customHeight="1">
      <c r="A89" s="6"/>
      <c r="B89" s="6"/>
      <c r="C89" s="240" t="s">
        <v>279</v>
      </c>
      <c r="D89" s="241"/>
      <c r="E89" s="96"/>
      <c r="F89" s="243">
        <v>0.0</v>
      </c>
      <c r="G89" s="6"/>
      <c r="H89" s="6"/>
      <c r="I89" s="6"/>
      <c r="J89" s="6"/>
      <c r="K89" s="6"/>
      <c r="L89" s="6"/>
      <c r="M89" s="6"/>
      <c r="N89" s="6"/>
      <c r="O89" s="6"/>
      <c r="P89" s="6"/>
      <c r="Q89" s="6"/>
      <c r="R89" s="6"/>
      <c r="S89" s="6"/>
      <c r="T89" s="6"/>
      <c r="U89" s="6"/>
      <c r="V89" s="6"/>
      <c r="W89" s="6"/>
      <c r="X89" s="6"/>
      <c r="Y89" s="6"/>
      <c r="Z89" s="6"/>
    </row>
    <row r="90" ht="37.5" customHeight="1">
      <c r="A90" s="6"/>
      <c r="B90" s="6"/>
      <c r="C90" s="240" t="s">
        <v>371</v>
      </c>
      <c r="D90" s="6"/>
      <c r="E90" s="96"/>
      <c r="F90" s="243">
        <v>0.0</v>
      </c>
      <c r="G90" s="6"/>
      <c r="H90" s="6"/>
      <c r="I90" s="6"/>
      <c r="J90" s="6"/>
      <c r="K90" s="6"/>
      <c r="L90" s="6"/>
      <c r="M90" s="6"/>
      <c r="N90" s="6"/>
      <c r="O90" s="6"/>
      <c r="P90" s="6"/>
      <c r="Q90" s="6"/>
      <c r="R90" s="6"/>
      <c r="S90" s="6"/>
      <c r="T90" s="6"/>
      <c r="U90" s="6"/>
      <c r="V90" s="6"/>
      <c r="W90" s="6"/>
      <c r="X90" s="6"/>
      <c r="Y90" s="6"/>
      <c r="Z90" s="6"/>
    </row>
    <row r="91" ht="37.5" customHeight="1">
      <c r="A91" s="6"/>
      <c r="B91" s="6"/>
      <c r="C91" s="240" t="s">
        <v>70</v>
      </c>
      <c r="D91" s="6"/>
      <c r="E91" s="96"/>
      <c r="F91" s="243">
        <v>0.0</v>
      </c>
      <c r="G91" s="6"/>
      <c r="H91" s="6"/>
      <c r="I91" s="6"/>
      <c r="J91" s="6"/>
      <c r="K91" s="6"/>
      <c r="L91" s="6"/>
      <c r="M91" s="6"/>
      <c r="N91" s="6"/>
      <c r="O91" s="6"/>
      <c r="P91" s="6"/>
      <c r="Q91" s="6"/>
      <c r="R91" s="6"/>
      <c r="S91" s="6"/>
      <c r="T91" s="6"/>
      <c r="U91" s="6"/>
      <c r="V91" s="6"/>
      <c r="W91" s="6"/>
      <c r="X91" s="6"/>
      <c r="Y91" s="6"/>
      <c r="Z91" s="6"/>
    </row>
    <row r="92" ht="37.5" customHeight="1">
      <c r="A92" s="6"/>
      <c r="B92" s="6"/>
      <c r="C92" s="240" t="s">
        <v>282</v>
      </c>
      <c r="D92" s="6"/>
      <c r="E92" s="96"/>
      <c r="F92" s="243">
        <v>0.0</v>
      </c>
      <c r="G92" s="6"/>
      <c r="H92" s="6"/>
      <c r="I92" s="6"/>
      <c r="J92" s="6"/>
      <c r="K92" s="6"/>
      <c r="L92" s="6"/>
      <c r="M92" s="6"/>
      <c r="N92" s="6"/>
      <c r="O92" s="6"/>
      <c r="P92" s="6"/>
      <c r="Q92" s="6"/>
      <c r="R92" s="6"/>
      <c r="S92" s="6"/>
      <c r="T92" s="6"/>
      <c r="U92" s="6"/>
      <c r="V92" s="6"/>
      <c r="W92" s="6"/>
      <c r="X92" s="6"/>
      <c r="Y92" s="6"/>
      <c r="Z92" s="6"/>
    </row>
    <row r="93" ht="37.5" customHeight="1">
      <c r="A93" s="6"/>
      <c r="B93" s="6"/>
      <c r="C93" s="240" t="s">
        <v>286</v>
      </c>
      <c r="D93" s="6"/>
      <c r="E93" s="96"/>
      <c r="F93" s="243">
        <v>0.0</v>
      </c>
      <c r="G93" s="6"/>
      <c r="H93" s="6"/>
      <c r="I93" s="6"/>
      <c r="J93" s="6"/>
      <c r="K93" s="6"/>
      <c r="L93" s="6"/>
      <c r="M93" s="6"/>
      <c r="N93" s="6"/>
      <c r="O93" s="6"/>
      <c r="P93" s="6"/>
      <c r="Q93" s="6"/>
      <c r="R93" s="6"/>
      <c r="S93" s="6"/>
      <c r="T93" s="6"/>
      <c r="U93" s="6"/>
      <c r="V93" s="6"/>
      <c r="W93" s="6"/>
      <c r="X93" s="6"/>
      <c r="Y93" s="6"/>
      <c r="Z93" s="6"/>
    </row>
    <row r="94" ht="37.5" customHeight="1">
      <c r="A94" s="6"/>
      <c r="B94" s="6"/>
      <c r="C94" s="240" t="s">
        <v>372</v>
      </c>
      <c r="D94" s="6"/>
      <c r="E94" s="96"/>
      <c r="F94" s="243">
        <f>SUMIF('EXTERIOR &amp; ADD-ONS'!$B$3:$F$20,C94,'EXTERIOR &amp; ADD-ONS'!$F$3:$F$20)</f>
        <v>0</v>
      </c>
      <c r="G94" s="6"/>
      <c r="H94" s="6"/>
      <c r="I94" s="6"/>
      <c r="J94" s="6"/>
      <c r="K94" s="6"/>
      <c r="L94" s="6"/>
      <c r="M94" s="6"/>
      <c r="N94" s="6"/>
      <c r="O94" s="6"/>
      <c r="P94" s="6"/>
      <c r="Q94" s="6"/>
      <c r="R94" s="6"/>
      <c r="S94" s="6"/>
      <c r="T94" s="6"/>
      <c r="U94" s="6"/>
      <c r="V94" s="6"/>
      <c r="W94" s="6"/>
      <c r="X94" s="6"/>
      <c r="Y94" s="6"/>
      <c r="Z94" s="6"/>
    </row>
    <row r="95" ht="37.5" customHeight="1">
      <c r="A95" s="6"/>
      <c r="B95" s="6"/>
      <c r="C95" s="240" t="s">
        <v>373</v>
      </c>
      <c r="D95" s="6"/>
      <c r="E95" s="96"/>
      <c r="F95" s="243">
        <v>0.0</v>
      </c>
      <c r="G95" s="6"/>
      <c r="H95" s="6"/>
      <c r="I95" s="6"/>
      <c r="J95" s="6"/>
      <c r="K95" s="6"/>
      <c r="L95" s="6"/>
      <c r="M95" s="6"/>
      <c r="N95" s="6"/>
      <c r="O95" s="6"/>
      <c r="P95" s="6"/>
      <c r="Q95" s="6"/>
      <c r="R95" s="6"/>
      <c r="S95" s="6"/>
      <c r="T95" s="6"/>
      <c r="U95" s="6"/>
      <c r="V95" s="6"/>
      <c r="W95" s="6"/>
      <c r="X95" s="6"/>
      <c r="Y95" s="6"/>
      <c r="Z95" s="6"/>
    </row>
    <row r="96" ht="37.5" customHeight="1">
      <c r="A96" s="6"/>
      <c r="B96" s="6"/>
      <c r="C96" s="244" t="s">
        <v>374</v>
      </c>
      <c r="D96" s="245"/>
      <c r="E96" s="249"/>
      <c r="F96" s="247">
        <v>0.0</v>
      </c>
      <c r="G96" s="6"/>
      <c r="H96" s="6"/>
      <c r="I96" s="6"/>
      <c r="J96" s="6"/>
      <c r="K96" s="6"/>
      <c r="L96" s="6"/>
      <c r="M96" s="6"/>
      <c r="N96" s="6"/>
      <c r="O96" s="6"/>
      <c r="P96" s="6"/>
      <c r="Q96" s="6"/>
      <c r="R96" s="6"/>
      <c r="S96" s="6"/>
      <c r="T96" s="6"/>
      <c r="U96" s="6"/>
      <c r="V96" s="6"/>
      <c r="W96" s="6"/>
      <c r="X96" s="6"/>
      <c r="Y96" s="6"/>
      <c r="Z96" s="6"/>
    </row>
    <row r="97" ht="37.5" customHeight="1">
      <c r="A97" s="6"/>
      <c r="B97" s="6"/>
      <c r="G97" s="6"/>
      <c r="H97" s="6"/>
      <c r="I97" s="6"/>
      <c r="J97" s="6"/>
      <c r="K97" s="6"/>
      <c r="L97" s="6"/>
      <c r="M97" s="6"/>
      <c r="N97" s="6"/>
      <c r="O97" s="6"/>
      <c r="P97" s="6"/>
      <c r="Q97" s="6"/>
      <c r="R97" s="6"/>
      <c r="S97" s="6"/>
      <c r="T97" s="6"/>
      <c r="U97" s="6"/>
      <c r="V97" s="6"/>
      <c r="W97" s="6"/>
      <c r="X97" s="6"/>
      <c r="Y97" s="6"/>
      <c r="Z97" s="6"/>
    </row>
    <row r="98" ht="37.5" customHeight="1">
      <c r="A98" s="6"/>
      <c r="B98" s="6"/>
      <c r="G98" s="6"/>
      <c r="H98" s="6"/>
      <c r="I98" s="6"/>
      <c r="J98" s="6"/>
      <c r="K98" s="6"/>
      <c r="L98" s="6"/>
      <c r="M98" s="6"/>
      <c r="N98" s="6"/>
      <c r="O98" s="6"/>
      <c r="P98" s="6"/>
      <c r="Q98" s="6"/>
      <c r="R98" s="6"/>
      <c r="S98" s="6"/>
      <c r="T98" s="6"/>
      <c r="U98" s="6"/>
      <c r="V98" s="6"/>
      <c r="W98" s="6"/>
      <c r="X98" s="6"/>
      <c r="Y98" s="6"/>
      <c r="Z98" s="6"/>
    </row>
    <row r="99" ht="30.0" customHeight="1">
      <c r="A99" s="6"/>
      <c r="B99" s="179" t="s">
        <v>333</v>
      </c>
      <c r="H99" s="179"/>
      <c r="I99" s="6"/>
      <c r="J99" s="6"/>
      <c r="K99" s="6"/>
      <c r="L99" s="6"/>
      <c r="M99" s="6"/>
      <c r="N99" s="6"/>
      <c r="O99" s="6"/>
      <c r="P99" s="6"/>
      <c r="Q99" s="6"/>
      <c r="R99" s="6"/>
      <c r="S99" s="6"/>
      <c r="T99" s="6"/>
      <c r="U99" s="6"/>
      <c r="V99" s="6"/>
      <c r="W99" s="6"/>
      <c r="X99" s="6"/>
      <c r="Y99" s="6"/>
      <c r="Z99" s="6"/>
    </row>
    <row r="100" ht="37.5" customHeight="1">
      <c r="A100" s="6"/>
      <c r="B100" s="208"/>
      <c r="C100" s="209"/>
      <c r="D100" s="209"/>
      <c r="E100" s="209"/>
      <c r="F100" s="209"/>
      <c r="G100" s="6"/>
      <c r="H100" s="6"/>
      <c r="I100" s="6"/>
      <c r="J100" s="6"/>
      <c r="K100" s="6"/>
      <c r="L100" s="6"/>
      <c r="M100" s="6"/>
      <c r="N100" s="6"/>
      <c r="O100" s="6"/>
      <c r="P100" s="6"/>
      <c r="Q100" s="6"/>
      <c r="R100" s="6"/>
      <c r="S100" s="6"/>
      <c r="T100" s="6"/>
      <c r="U100" s="6"/>
      <c r="V100" s="6"/>
      <c r="W100" s="6"/>
      <c r="X100" s="6"/>
      <c r="Y100" s="6"/>
      <c r="Z100" s="6"/>
    </row>
    <row r="101" ht="37.5" customHeight="1">
      <c r="A101" s="6"/>
      <c r="B101" s="180" t="s">
        <v>375</v>
      </c>
      <c r="G101" s="6"/>
      <c r="H101" s="6"/>
      <c r="I101" s="6"/>
      <c r="J101" s="6"/>
      <c r="K101" s="6"/>
      <c r="L101" s="6"/>
      <c r="M101" s="6"/>
      <c r="N101" s="6"/>
      <c r="O101" s="6"/>
      <c r="P101" s="6"/>
      <c r="Q101" s="6"/>
      <c r="R101" s="6"/>
      <c r="S101" s="6"/>
      <c r="T101" s="6"/>
      <c r="U101" s="6"/>
      <c r="V101" s="6"/>
      <c r="W101" s="6"/>
      <c r="X101" s="6"/>
      <c r="Y101" s="6"/>
      <c r="Z101" s="6"/>
    </row>
    <row r="102" ht="37.5" customHeight="1">
      <c r="A102" s="6"/>
      <c r="B102" s="208"/>
      <c r="C102" s="209"/>
      <c r="D102" s="209"/>
      <c r="E102" s="209"/>
      <c r="F102" s="209"/>
      <c r="G102" s="6"/>
      <c r="H102" s="6"/>
      <c r="I102" s="6"/>
      <c r="J102" s="6"/>
      <c r="K102" s="6"/>
      <c r="L102" s="6"/>
      <c r="M102" s="6"/>
      <c r="N102" s="6"/>
      <c r="O102" s="6"/>
      <c r="P102" s="6"/>
      <c r="Q102" s="6"/>
      <c r="R102" s="6"/>
      <c r="S102" s="6"/>
      <c r="T102" s="6"/>
      <c r="U102" s="6"/>
      <c r="V102" s="6"/>
      <c r="W102" s="6"/>
      <c r="X102" s="6"/>
      <c r="Y102" s="6"/>
      <c r="Z102" s="6"/>
    </row>
    <row r="103" ht="37.5" customHeight="1">
      <c r="A103" s="6"/>
      <c r="B103" s="208"/>
      <c r="C103" s="209"/>
      <c r="D103" s="209"/>
      <c r="E103" s="209"/>
      <c r="F103" s="209"/>
      <c r="G103" s="6"/>
      <c r="H103" s="6"/>
      <c r="I103" s="6"/>
      <c r="J103" s="6"/>
      <c r="K103" s="6"/>
      <c r="L103" s="6"/>
      <c r="M103" s="6"/>
      <c r="N103" s="6"/>
      <c r="O103" s="6"/>
      <c r="P103" s="6"/>
      <c r="Q103" s="6"/>
      <c r="R103" s="6"/>
      <c r="S103" s="6"/>
      <c r="T103" s="6"/>
      <c r="U103" s="6"/>
      <c r="V103" s="6"/>
      <c r="W103" s="6"/>
      <c r="X103" s="6"/>
      <c r="Y103" s="6"/>
      <c r="Z103" s="6"/>
    </row>
    <row r="104" ht="37.5" customHeight="1">
      <c r="A104" s="11"/>
      <c r="B104" s="251" t="s">
        <v>376</v>
      </c>
      <c r="C104" s="209" t="s">
        <v>424</v>
      </c>
      <c r="G104" s="11"/>
      <c r="H104" s="11"/>
      <c r="I104" s="11"/>
      <c r="J104" s="11"/>
      <c r="K104" s="11"/>
      <c r="L104" s="11"/>
      <c r="M104" s="11"/>
      <c r="N104" s="11"/>
      <c r="O104" s="11"/>
      <c r="P104" s="11"/>
      <c r="Q104" s="11"/>
      <c r="R104" s="11"/>
      <c r="S104" s="11"/>
      <c r="T104" s="11"/>
      <c r="U104" s="11"/>
      <c r="V104" s="11"/>
      <c r="W104" s="11"/>
      <c r="X104" s="11"/>
      <c r="Y104" s="11"/>
      <c r="Z104" s="11"/>
    </row>
    <row r="105" ht="15.0" customHeight="1">
      <c r="A105" s="11"/>
      <c r="B105" s="212"/>
      <c r="C105" s="212"/>
      <c r="D105" s="212"/>
      <c r="E105" s="212"/>
      <c r="F105" s="212"/>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251" t="s">
        <v>378</v>
      </c>
      <c r="C106" s="209" t="s">
        <v>379</v>
      </c>
      <c r="G106" s="11"/>
      <c r="H106" s="11"/>
      <c r="I106" s="11"/>
      <c r="J106" s="11"/>
      <c r="K106" s="11"/>
      <c r="L106" s="11"/>
      <c r="M106" s="11"/>
      <c r="N106" s="11"/>
      <c r="O106" s="11"/>
      <c r="P106" s="11"/>
      <c r="Q106" s="11"/>
      <c r="R106" s="11"/>
      <c r="S106" s="11"/>
      <c r="T106" s="11"/>
      <c r="U106" s="11"/>
      <c r="V106" s="11"/>
      <c r="W106" s="11"/>
      <c r="X106" s="11"/>
      <c r="Y106" s="11"/>
      <c r="Z106" s="11"/>
    </row>
    <row r="107" ht="15.0" customHeight="1">
      <c r="A107" s="11"/>
      <c r="B107" s="212"/>
      <c r="C107" s="212"/>
      <c r="D107" s="212"/>
      <c r="E107" s="212"/>
      <c r="F107" s="212"/>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251" t="s">
        <v>380</v>
      </c>
      <c r="C108" s="209" t="s">
        <v>381</v>
      </c>
      <c r="G108" s="11"/>
      <c r="H108" s="11"/>
      <c r="I108" s="11"/>
      <c r="J108" s="11"/>
      <c r="K108" s="11"/>
      <c r="L108" s="11"/>
      <c r="M108" s="11"/>
      <c r="N108" s="11"/>
      <c r="O108" s="11"/>
      <c r="P108" s="11"/>
      <c r="Q108" s="11"/>
      <c r="R108" s="11"/>
      <c r="S108" s="11"/>
      <c r="T108" s="11"/>
      <c r="U108" s="11"/>
      <c r="V108" s="11"/>
      <c r="W108" s="11"/>
      <c r="X108" s="11"/>
      <c r="Y108" s="11"/>
      <c r="Z108" s="11"/>
    </row>
    <row r="109" ht="15.0" customHeight="1">
      <c r="A109" s="11"/>
      <c r="B109" s="212"/>
      <c r="C109" s="212"/>
      <c r="D109" s="212"/>
      <c r="E109" s="212"/>
      <c r="F109" s="212"/>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251" t="s">
        <v>382</v>
      </c>
      <c r="C110" s="209" t="s">
        <v>383</v>
      </c>
      <c r="G110" s="11"/>
      <c r="H110" s="11"/>
      <c r="I110" s="11"/>
      <c r="J110" s="11"/>
      <c r="K110" s="11"/>
      <c r="L110" s="11"/>
      <c r="M110" s="11"/>
      <c r="N110" s="11"/>
      <c r="O110" s="11"/>
      <c r="P110" s="11"/>
      <c r="Q110" s="11"/>
      <c r="R110" s="11"/>
      <c r="S110" s="11"/>
      <c r="T110" s="11"/>
      <c r="U110" s="11"/>
      <c r="V110" s="11"/>
      <c r="W110" s="11"/>
      <c r="X110" s="11"/>
      <c r="Y110" s="11"/>
      <c r="Z110" s="11"/>
    </row>
    <row r="111" ht="15.0" customHeight="1">
      <c r="A111" s="11"/>
      <c r="B111" s="212"/>
      <c r="C111" s="212"/>
      <c r="D111" s="212"/>
      <c r="E111" s="212"/>
      <c r="F111" s="212"/>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251" t="s">
        <v>384</v>
      </c>
      <c r="C112" s="209" t="s">
        <v>385</v>
      </c>
      <c r="G112" s="11"/>
      <c r="H112" s="11"/>
      <c r="I112" s="11"/>
      <c r="J112" s="11"/>
      <c r="K112" s="11"/>
      <c r="L112" s="11"/>
      <c r="M112" s="11"/>
      <c r="N112" s="11"/>
      <c r="O112" s="11"/>
      <c r="P112" s="11"/>
      <c r="Q112" s="11"/>
      <c r="R112" s="11"/>
      <c r="S112" s="11"/>
      <c r="T112" s="11"/>
      <c r="U112" s="11"/>
      <c r="V112" s="11"/>
      <c r="W112" s="11"/>
      <c r="X112" s="11"/>
      <c r="Y112" s="11"/>
      <c r="Z112" s="11"/>
    </row>
    <row r="113" ht="15.0" customHeight="1">
      <c r="A113" s="11"/>
      <c r="B113" s="212"/>
      <c r="C113" s="212"/>
      <c r="D113" s="212"/>
      <c r="E113" s="212"/>
      <c r="F113" s="212"/>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251" t="s">
        <v>386</v>
      </c>
      <c r="C114" s="209" t="s">
        <v>387</v>
      </c>
      <c r="G114" s="11"/>
      <c r="H114" s="11"/>
      <c r="I114" s="11"/>
      <c r="J114" s="11"/>
      <c r="K114" s="11"/>
      <c r="L114" s="11"/>
      <c r="M114" s="11"/>
      <c r="N114" s="11"/>
      <c r="O114" s="11"/>
      <c r="P114" s="11"/>
      <c r="Q114" s="11"/>
      <c r="R114" s="11"/>
      <c r="S114" s="11"/>
      <c r="T114" s="11"/>
      <c r="U114" s="11"/>
      <c r="V114" s="11"/>
      <c r="W114" s="11"/>
      <c r="X114" s="11"/>
      <c r="Y114" s="11"/>
      <c r="Z114" s="11"/>
    </row>
    <row r="115" ht="15.0" customHeight="1">
      <c r="A115" s="11"/>
      <c r="B115" s="212"/>
      <c r="C115" s="212"/>
      <c r="D115" s="212"/>
      <c r="E115" s="212"/>
      <c r="F115" s="212"/>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251" t="s">
        <v>388</v>
      </c>
      <c r="C116" s="209" t="s">
        <v>389</v>
      </c>
      <c r="G116" s="11"/>
      <c r="H116" s="11"/>
      <c r="I116" s="11"/>
      <c r="J116" s="11"/>
      <c r="K116" s="11"/>
      <c r="L116" s="11"/>
      <c r="M116" s="11"/>
      <c r="N116" s="11"/>
      <c r="O116" s="11"/>
      <c r="P116" s="11"/>
      <c r="Q116" s="11"/>
      <c r="R116" s="11"/>
      <c r="S116" s="11"/>
      <c r="T116" s="11"/>
      <c r="U116" s="11"/>
      <c r="V116" s="11"/>
      <c r="W116" s="11"/>
      <c r="X116" s="11"/>
      <c r="Y116" s="11"/>
      <c r="Z116" s="11"/>
    </row>
    <row r="117" ht="15.0" customHeight="1">
      <c r="A117" s="11"/>
      <c r="B117" s="212"/>
      <c r="C117" s="212"/>
      <c r="D117" s="212"/>
      <c r="E117" s="212"/>
      <c r="F117" s="212"/>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251" t="s">
        <v>390</v>
      </c>
      <c r="C118" s="209" t="s">
        <v>391</v>
      </c>
      <c r="G118" s="11"/>
      <c r="H118" s="11"/>
      <c r="I118" s="11"/>
      <c r="J118" s="11"/>
      <c r="K118" s="11"/>
      <c r="L118" s="11"/>
      <c r="M118" s="11"/>
      <c r="N118" s="11"/>
      <c r="O118" s="11"/>
      <c r="P118" s="11"/>
      <c r="Q118" s="11"/>
      <c r="R118" s="11"/>
      <c r="S118" s="11"/>
      <c r="T118" s="11"/>
      <c r="U118" s="11"/>
      <c r="V118" s="11"/>
      <c r="W118" s="11"/>
      <c r="X118" s="11"/>
      <c r="Y118" s="11"/>
      <c r="Z118" s="11"/>
    </row>
    <row r="119" ht="15.0" customHeight="1">
      <c r="A119" s="11"/>
      <c r="B119" s="212"/>
      <c r="C119" s="212"/>
      <c r="D119" s="212"/>
      <c r="E119" s="212"/>
      <c r="F119" s="212"/>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251" t="s">
        <v>392</v>
      </c>
      <c r="C120" s="209" t="s">
        <v>393</v>
      </c>
      <c r="G120" s="11"/>
      <c r="H120" s="11"/>
      <c r="I120" s="11"/>
      <c r="J120" s="11"/>
      <c r="K120" s="11"/>
      <c r="L120" s="11"/>
      <c r="M120" s="11"/>
      <c r="N120" s="11"/>
      <c r="O120" s="11"/>
      <c r="P120" s="11"/>
      <c r="Q120" s="11"/>
      <c r="R120" s="11"/>
      <c r="S120" s="11"/>
      <c r="T120" s="11"/>
      <c r="U120" s="11"/>
      <c r="V120" s="11"/>
      <c r="W120" s="11"/>
      <c r="X120" s="11"/>
      <c r="Y120" s="11"/>
      <c r="Z120" s="11"/>
    </row>
    <row r="121" ht="15.0" customHeight="1">
      <c r="A121" s="11"/>
      <c r="B121" s="212"/>
      <c r="C121" s="212"/>
      <c r="D121" s="212"/>
      <c r="E121" s="212"/>
      <c r="F121" s="212"/>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251" t="s">
        <v>394</v>
      </c>
      <c r="C122" s="209" t="s">
        <v>395</v>
      </c>
      <c r="G122" s="11"/>
      <c r="H122" s="11"/>
      <c r="I122" s="11"/>
      <c r="J122" s="11"/>
      <c r="K122" s="11"/>
      <c r="L122" s="11"/>
      <c r="M122" s="11"/>
      <c r="N122" s="11"/>
      <c r="O122" s="11"/>
      <c r="P122" s="11"/>
      <c r="Q122" s="11"/>
      <c r="R122" s="11"/>
      <c r="S122" s="11"/>
      <c r="T122" s="11"/>
      <c r="U122" s="11"/>
      <c r="V122" s="11"/>
      <c r="W122" s="11"/>
      <c r="X122" s="11"/>
      <c r="Y122" s="11"/>
      <c r="Z122" s="11"/>
    </row>
    <row r="123" ht="15.0" customHeight="1">
      <c r="A123" s="11"/>
      <c r="B123" s="212"/>
      <c r="C123" s="212"/>
      <c r="D123" s="212"/>
      <c r="E123" s="212"/>
      <c r="F123" s="212"/>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251" t="s">
        <v>396</v>
      </c>
      <c r="C124" s="209" t="s">
        <v>397</v>
      </c>
      <c r="G124" s="11"/>
      <c r="H124" s="11"/>
      <c r="I124" s="11"/>
      <c r="J124" s="11"/>
      <c r="K124" s="11"/>
      <c r="L124" s="11"/>
      <c r="M124" s="11"/>
      <c r="N124" s="11"/>
      <c r="O124" s="11"/>
      <c r="P124" s="11"/>
      <c r="Q124" s="11"/>
      <c r="R124" s="11"/>
      <c r="S124" s="11"/>
      <c r="T124" s="11"/>
      <c r="U124" s="11"/>
      <c r="V124" s="11"/>
      <c r="W124" s="11"/>
      <c r="X124" s="11"/>
      <c r="Y124" s="11"/>
      <c r="Z124" s="11"/>
    </row>
    <row r="125" ht="3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7.5" customHeight="1">
      <c r="A127" s="11"/>
      <c r="B127" s="11"/>
      <c r="C127" s="252" t="s">
        <v>398</v>
      </c>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3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7.5" customHeight="1">
      <c r="A130" s="6"/>
      <c r="B130" s="6"/>
      <c r="C130" s="253" t="str">
        <f>D5</f>
        <v>Frances Cartagena</v>
      </c>
      <c r="D130" s="215"/>
      <c r="E130" s="215"/>
      <c r="F130" s="6"/>
      <c r="G130" s="6"/>
      <c r="H130" s="6"/>
      <c r="I130" s="6"/>
      <c r="J130" s="6"/>
      <c r="K130" s="6"/>
      <c r="L130" s="6"/>
      <c r="M130" s="6"/>
      <c r="N130" s="6"/>
      <c r="O130" s="6"/>
      <c r="P130" s="6"/>
      <c r="Q130" s="6"/>
      <c r="R130" s="6"/>
      <c r="S130" s="6"/>
      <c r="T130" s="6"/>
      <c r="U130" s="6"/>
      <c r="V130" s="6"/>
      <c r="W130" s="6"/>
      <c r="X130" s="6"/>
      <c r="Y130" s="6"/>
      <c r="Z130" s="6"/>
    </row>
    <row r="131" ht="3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7.5" customHeight="1">
      <c r="A132" s="6"/>
      <c r="B132" s="6"/>
      <c r="H132" s="6"/>
      <c r="I132" s="6"/>
      <c r="J132" s="6"/>
      <c r="K132" s="6"/>
      <c r="L132" s="6"/>
      <c r="M132" s="6"/>
      <c r="N132" s="6"/>
      <c r="O132" s="6"/>
      <c r="P132" s="6"/>
      <c r="Q132" s="6"/>
      <c r="R132" s="6"/>
      <c r="S132" s="6"/>
      <c r="T132" s="6"/>
      <c r="U132" s="6"/>
      <c r="V132" s="6"/>
      <c r="W132" s="6"/>
      <c r="X132" s="6"/>
      <c r="Y132" s="6"/>
      <c r="Z132" s="6"/>
    </row>
    <row r="133" ht="3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3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3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3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3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2:E2"/>
    <mergeCell ref="D14:F14"/>
    <mergeCell ref="C17:F17"/>
    <mergeCell ref="C29:F29"/>
    <mergeCell ref="B31:G31"/>
    <mergeCell ref="B34:E34"/>
    <mergeCell ref="C37:D37"/>
    <mergeCell ref="C45:D45"/>
    <mergeCell ref="B65:G65"/>
    <mergeCell ref="B67:E67"/>
    <mergeCell ref="C70:D70"/>
    <mergeCell ref="C83:D83"/>
    <mergeCell ref="B99:G99"/>
    <mergeCell ref="B101:F101"/>
    <mergeCell ref="C118:F118"/>
    <mergeCell ref="C120:F120"/>
    <mergeCell ref="C122:F122"/>
    <mergeCell ref="C124:F124"/>
    <mergeCell ref="C130:E130"/>
    <mergeCell ref="B132:G132"/>
    <mergeCell ref="C104:F104"/>
    <mergeCell ref="C106:F106"/>
    <mergeCell ref="C108:F108"/>
    <mergeCell ref="C110:F110"/>
    <mergeCell ref="C112:F112"/>
    <mergeCell ref="C114:F114"/>
    <mergeCell ref="C116:F116"/>
  </mergeCells>
  <dataValidations>
    <dataValidation type="list" allowBlank="1" showErrorMessage="1" sqref="E71:E81">
      <formula1>"Phase 1,Phase 2,Phase 3,Phase 4,Phase 5,Phase 1 &amp; 2,Phase 2 &amp; 3"</formula1>
    </dataValidation>
    <dataValidation type="list" allowBlank="1" showErrorMessage="1" sqref="E84:E96">
      <formula1>"Upon Permits Approval,Paid,Waiting on Quote,N/A,Projected,Not on Initial Estimate"</formula1>
    </dataValidation>
    <dataValidation type="list" allowBlank="1" sqref="C14">
      <formula1>"Paint by Numbers,Quest,Making a Movie,Lost in the Fog"</formula1>
    </dataValidation>
    <dataValidation type="list" allowBlank="1" showErrorMessage="1" sqref="E38:E42 E46:E49 E51:E54">
      <formula1>"PAID,PENDING,UPON APPROVAL,N/A"</formula1>
    </dataValidation>
    <dataValidation type="list" allowBlank="1" sqref="C17">
      <formula1>DATA!$D$41:$D$42</formula1>
    </dataValidation>
    <dataValidation type="list" allowBlank="1" showErrorMessage="1" sqref="E50">
      <formula1>"PAID,PENDING,UPON APPROVAL,N/A,Ex. Categórica,REA/DEA"</formula1>
    </dataValidation>
    <dataValidation type="list" allowBlank="1" sqref="D9">
      <formula1>"Enter Version,1,2,3,4,5,6,7,8,9,10,11,12,13,14,15"</formula1>
    </dataValidation>
    <dataValidation type="list" allowBlank="1" sqref="D11">
      <formula1>"Enter Model,M1,M2,L1,L2,L3,mX,mXL"</formula1>
    </dataValidation>
  </dataValidations>
  <printOptions gridLines="1" horizontalCentered="1"/>
  <pageMargins bottom="0.75" footer="0.0" header="0.0" left="0.25" right="0.25" top="0.75"/>
  <pageSetup fitToHeight="0" paperSize="8"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78894"/>
    <outlinePr summaryBelow="0" summaryRight="0"/>
    <pageSetUpPr fitToPage="1"/>
  </sheetPr>
  <sheetViews>
    <sheetView showGridLines="0" workbookViewId="0"/>
  </sheetViews>
  <sheetFormatPr customHeight="1" defaultColWidth="12.63" defaultRowHeight="15.0"/>
  <cols>
    <col customWidth="1" min="1" max="1" width="12.63"/>
    <col customWidth="1" min="2" max="2" width="6.38"/>
    <col customWidth="1" min="3" max="3" width="27.63"/>
    <col customWidth="1" min="4" max="4" width="6.38"/>
    <col customWidth="1" min="5" max="5" width="27.63"/>
    <col customWidth="1" min="6" max="6" width="6.38"/>
    <col customWidth="1" min="7" max="7" width="27.63"/>
    <col customWidth="1" min="8" max="8" width="6.38"/>
    <col customWidth="1" min="9" max="9" width="27.63"/>
    <col customWidth="1" min="10" max="10" width="6.38"/>
    <col customWidth="1" min="11" max="11" width="27.63"/>
  </cols>
  <sheetData>
    <row r="1" ht="75.0" customHeight="1">
      <c r="A1" s="6"/>
      <c r="B1" s="254" t="s">
        <v>425</v>
      </c>
      <c r="I1" s="6"/>
      <c r="J1" s="6"/>
      <c r="K1" s="54"/>
      <c r="L1" s="6"/>
      <c r="M1" s="6"/>
      <c r="N1" s="6"/>
      <c r="O1" s="6"/>
      <c r="P1" s="6"/>
      <c r="Q1" s="6"/>
      <c r="R1" s="6"/>
      <c r="S1" s="6"/>
      <c r="T1" s="6"/>
      <c r="U1" s="6"/>
      <c r="V1" s="6"/>
      <c r="W1" s="6"/>
      <c r="X1" s="6"/>
      <c r="Y1" s="6"/>
      <c r="Z1" s="6"/>
      <c r="AA1" s="6"/>
    </row>
    <row r="2" ht="37.5" customHeight="1">
      <c r="B2" s="255" t="s">
        <v>426</v>
      </c>
    </row>
    <row r="3" ht="22.5" customHeight="1">
      <c r="A3" s="6"/>
      <c r="B3" s="256" t="s">
        <v>427</v>
      </c>
      <c r="C3" s="257"/>
      <c r="D3" s="256" t="s">
        <v>100</v>
      </c>
      <c r="E3" s="257"/>
      <c r="F3" s="256" t="s">
        <v>104</v>
      </c>
      <c r="G3" s="257"/>
      <c r="H3" s="6"/>
      <c r="I3" s="6"/>
      <c r="J3" s="6"/>
      <c r="K3" s="6"/>
      <c r="L3" s="6"/>
      <c r="M3" s="6"/>
      <c r="N3" s="6"/>
      <c r="O3" s="6"/>
      <c r="P3" s="6"/>
      <c r="Q3" s="6"/>
      <c r="R3" s="6"/>
      <c r="S3" s="6"/>
      <c r="T3" s="6"/>
      <c r="U3" s="6"/>
      <c r="V3" s="6"/>
      <c r="W3" s="6"/>
      <c r="X3" s="6"/>
      <c r="Y3" s="6"/>
      <c r="Z3" s="6"/>
      <c r="AA3" s="6"/>
    </row>
    <row r="4" ht="22.5" customHeight="1">
      <c r="A4" s="6"/>
      <c r="B4" s="258" t="s">
        <v>97</v>
      </c>
      <c r="C4" s="257"/>
      <c r="D4" s="259" t="s">
        <v>99</v>
      </c>
      <c r="E4" s="257"/>
      <c r="F4" s="258" t="s">
        <v>103</v>
      </c>
      <c r="G4" s="257"/>
      <c r="H4" s="6"/>
      <c r="I4" s="6"/>
      <c r="J4" s="6"/>
      <c r="K4" s="6"/>
      <c r="L4" s="6"/>
      <c r="M4" s="6"/>
      <c r="N4" s="6"/>
      <c r="O4" s="6"/>
      <c r="P4" s="6"/>
      <c r="Q4" s="6"/>
      <c r="R4" s="6"/>
      <c r="S4" s="6"/>
      <c r="T4" s="6"/>
      <c r="U4" s="6"/>
      <c r="V4" s="6"/>
      <c r="W4" s="6"/>
      <c r="X4" s="6"/>
      <c r="Y4" s="6"/>
      <c r="Z4" s="6"/>
      <c r="AA4" s="6"/>
    </row>
    <row r="5" ht="37.5" customHeight="1">
      <c r="B5" s="260"/>
      <c r="C5" s="260"/>
    </row>
    <row r="6" ht="37.5" hidden="1" customHeight="1">
      <c r="A6" s="261"/>
      <c r="B6" s="262">
        <f>PRESENTATION!D6</f>
        <v>60718.038</v>
      </c>
      <c r="C6" s="257"/>
      <c r="D6" s="262">
        <f>PRESENTATION!D12</f>
        <v>64237.0755</v>
      </c>
      <c r="E6" s="257"/>
      <c r="F6" s="263">
        <f>PRESENTATION!D17</f>
        <v>58066.497</v>
      </c>
      <c r="G6" s="257"/>
      <c r="H6" s="264">
        <f>PRESENTATION!D23</f>
        <v>57226.971</v>
      </c>
      <c r="I6" s="257"/>
      <c r="J6" s="265">
        <f>PRESENTATION!D29</f>
        <v>21649.08</v>
      </c>
      <c r="K6" s="257"/>
    </row>
    <row r="7" ht="37.5" customHeight="1">
      <c r="A7" s="261"/>
      <c r="B7" s="266" t="s">
        <v>428</v>
      </c>
      <c r="C7" s="257"/>
      <c r="D7" s="266" t="s">
        <v>429</v>
      </c>
      <c r="E7" s="257"/>
      <c r="F7" s="267" t="s">
        <v>430</v>
      </c>
      <c r="G7" s="257"/>
      <c r="H7" s="268" t="s">
        <v>431</v>
      </c>
      <c r="I7" s="257"/>
      <c r="J7" s="269" t="s">
        <v>432</v>
      </c>
      <c r="K7" s="257"/>
    </row>
    <row r="8" ht="22.5" customHeight="1">
      <c r="C8" s="270"/>
      <c r="E8" s="270"/>
      <c r="G8" s="270"/>
      <c r="I8" s="270"/>
      <c r="K8" s="270"/>
    </row>
    <row r="9" ht="22.5" customHeight="1">
      <c r="A9" s="271"/>
      <c r="B9" s="272" t="s">
        <v>433</v>
      </c>
      <c r="C9" s="257"/>
      <c r="D9" s="273" t="s">
        <v>434</v>
      </c>
      <c r="E9" s="257"/>
      <c r="F9" s="274" t="s">
        <v>435</v>
      </c>
      <c r="G9" s="257"/>
      <c r="H9" s="275" t="s">
        <v>436</v>
      </c>
      <c r="I9" s="257"/>
      <c r="J9" s="276" t="s">
        <v>437</v>
      </c>
      <c r="K9" s="257"/>
      <c r="L9" s="271"/>
      <c r="M9" s="271"/>
      <c r="N9" s="271"/>
      <c r="O9" s="271"/>
      <c r="P9" s="271"/>
      <c r="Q9" s="271"/>
      <c r="R9" s="271"/>
      <c r="S9" s="271"/>
      <c r="T9" s="271"/>
      <c r="U9" s="271"/>
      <c r="V9" s="271"/>
      <c r="W9" s="271"/>
      <c r="X9" s="271"/>
      <c r="Y9" s="271"/>
      <c r="Z9" s="271"/>
      <c r="AA9" s="271"/>
    </row>
    <row r="10" ht="22.5" customHeight="1">
      <c r="A10" s="271"/>
      <c r="B10" s="277" t="s">
        <v>438</v>
      </c>
      <c r="C10" s="278" t="s">
        <v>439</v>
      </c>
      <c r="D10" s="279" t="s">
        <v>438</v>
      </c>
      <c r="E10" s="280" t="s">
        <v>440</v>
      </c>
      <c r="F10" s="281" t="s">
        <v>438</v>
      </c>
      <c r="G10" s="282" t="s">
        <v>441</v>
      </c>
      <c r="H10" s="283" t="s">
        <v>438</v>
      </c>
      <c r="I10" s="284" t="s">
        <v>150</v>
      </c>
      <c r="J10" s="285" t="s">
        <v>438</v>
      </c>
      <c r="K10" s="286" t="s">
        <v>442</v>
      </c>
      <c r="L10" s="271"/>
      <c r="M10" s="271"/>
      <c r="N10" s="271"/>
      <c r="O10" s="271"/>
      <c r="P10" s="271"/>
      <c r="Q10" s="271"/>
      <c r="R10" s="271"/>
      <c r="S10" s="271"/>
      <c r="T10" s="271"/>
      <c r="U10" s="271"/>
      <c r="V10" s="271"/>
      <c r="W10" s="271"/>
      <c r="X10" s="271"/>
      <c r="Y10" s="271"/>
      <c r="Z10" s="271"/>
      <c r="AA10" s="271"/>
    </row>
    <row r="11" ht="22.5" customHeight="1">
      <c r="A11" s="271"/>
      <c r="B11" s="277" t="s">
        <v>438</v>
      </c>
      <c r="C11" s="278" t="s">
        <v>443</v>
      </c>
      <c r="D11" s="279" t="s">
        <v>438</v>
      </c>
      <c r="E11" s="280" t="s">
        <v>444</v>
      </c>
      <c r="F11" s="281" t="s">
        <v>438</v>
      </c>
      <c r="G11" s="282" t="s">
        <v>180</v>
      </c>
      <c r="H11" s="283" t="s">
        <v>438</v>
      </c>
      <c r="I11" s="284" t="s">
        <v>445</v>
      </c>
      <c r="J11" s="285" t="s">
        <v>438</v>
      </c>
      <c r="K11" s="286" t="s">
        <v>446</v>
      </c>
      <c r="L11" s="271"/>
      <c r="M11" s="271"/>
      <c r="N11" s="271"/>
      <c r="O11" s="271"/>
      <c r="P11" s="271"/>
      <c r="Q11" s="271"/>
      <c r="R11" s="271"/>
      <c r="S11" s="271"/>
      <c r="T11" s="271"/>
      <c r="U11" s="271"/>
      <c r="V11" s="271"/>
      <c r="W11" s="271"/>
      <c r="X11" s="271"/>
      <c r="Y11" s="271"/>
      <c r="Z11" s="271"/>
      <c r="AA11" s="271"/>
    </row>
    <row r="12" ht="22.5" customHeight="1">
      <c r="A12" s="271"/>
      <c r="B12" s="272" t="s">
        <v>447</v>
      </c>
      <c r="C12" s="257"/>
      <c r="D12" s="279" t="s">
        <v>438</v>
      </c>
      <c r="E12" s="280" t="s">
        <v>448</v>
      </c>
      <c r="F12" s="281" t="s">
        <v>438</v>
      </c>
      <c r="G12" s="282" t="s">
        <v>181</v>
      </c>
      <c r="H12" s="275" t="s">
        <v>449</v>
      </c>
      <c r="I12" s="257"/>
      <c r="J12" s="285" t="s">
        <v>438</v>
      </c>
      <c r="K12" s="286" t="s">
        <v>450</v>
      </c>
      <c r="L12" s="271"/>
      <c r="M12" s="271"/>
      <c r="N12" s="271"/>
      <c r="O12" s="271"/>
      <c r="P12" s="271"/>
      <c r="Q12" s="271"/>
      <c r="R12" s="271"/>
      <c r="S12" s="271"/>
      <c r="T12" s="271"/>
      <c r="U12" s="271"/>
      <c r="V12" s="271"/>
      <c r="W12" s="271"/>
      <c r="X12" s="271"/>
      <c r="Y12" s="271"/>
      <c r="Z12" s="271"/>
      <c r="AA12" s="271"/>
    </row>
    <row r="13" ht="22.5" customHeight="1">
      <c r="A13" s="271"/>
      <c r="B13" s="277" t="s">
        <v>438</v>
      </c>
      <c r="C13" s="278" t="s">
        <v>451</v>
      </c>
      <c r="D13" s="279" t="s">
        <v>438</v>
      </c>
      <c r="E13" s="280" t="s">
        <v>212</v>
      </c>
      <c r="F13" s="281" t="s">
        <v>438</v>
      </c>
      <c r="G13" s="282" t="s">
        <v>452</v>
      </c>
      <c r="H13" s="283" t="s">
        <v>438</v>
      </c>
      <c r="I13" s="284" t="s">
        <v>453</v>
      </c>
      <c r="J13" s="285" t="s">
        <v>438</v>
      </c>
      <c r="K13" s="286" t="s">
        <v>454</v>
      </c>
      <c r="L13" s="271"/>
      <c r="M13" s="271"/>
      <c r="N13" s="271"/>
      <c r="O13" s="271"/>
      <c r="P13" s="271"/>
      <c r="Q13" s="271"/>
      <c r="R13" s="271"/>
      <c r="S13" s="271"/>
      <c r="T13" s="271"/>
      <c r="U13" s="271"/>
      <c r="V13" s="271"/>
      <c r="W13" s="271"/>
      <c r="X13" s="271"/>
      <c r="Y13" s="271"/>
      <c r="Z13" s="271"/>
      <c r="AA13" s="271"/>
    </row>
    <row r="14" ht="22.5" customHeight="1">
      <c r="A14" s="271"/>
      <c r="B14" s="277" t="s">
        <v>438</v>
      </c>
      <c r="C14" s="278" t="s">
        <v>455</v>
      </c>
      <c r="D14" s="279" t="s">
        <v>438</v>
      </c>
      <c r="E14" s="280" t="s">
        <v>214</v>
      </c>
      <c r="F14" s="281" t="s">
        <v>438</v>
      </c>
      <c r="G14" s="282" t="s">
        <v>456</v>
      </c>
      <c r="H14" s="283" t="s">
        <v>438</v>
      </c>
      <c r="I14" s="284" t="s">
        <v>457</v>
      </c>
      <c r="J14" s="285" t="s">
        <v>438</v>
      </c>
      <c r="K14" s="286" t="s">
        <v>458</v>
      </c>
      <c r="L14" s="271"/>
      <c r="M14" s="271"/>
      <c r="N14" s="271"/>
      <c r="O14" s="271"/>
      <c r="P14" s="271"/>
      <c r="Q14" s="271"/>
      <c r="R14" s="271"/>
      <c r="S14" s="271"/>
      <c r="T14" s="271"/>
      <c r="U14" s="271"/>
      <c r="V14" s="271"/>
      <c r="W14" s="271"/>
      <c r="X14" s="271"/>
      <c r="Y14" s="271"/>
      <c r="Z14" s="271"/>
      <c r="AA14" s="271"/>
    </row>
    <row r="15" ht="22.5" customHeight="1">
      <c r="A15" s="271"/>
      <c r="B15" s="277" t="s">
        <v>438</v>
      </c>
      <c r="C15" s="278" t="s">
        <v>459</v>
      </c>
      <c r="D15" s="279" t="s">
        <v>438</v>
      </c>
      <c r="E15" s="280" t="s">
        <v>460</v>
      </c>
      <c r="F15" s="274" t="s">
        <v>461</v>
      </c>
      <c r="G15" s="257"/>
      <c r="H15" s="283" t="s">
        <v>438</v>
      </c>
      <c r="I15" s="284" t="s">
        <v>462</v>
      </c>
      <c r="J15" s="285" t="s">
        <v>438</v>
      </c>
      <c r="K15" s="286" t="s">
        <v>463</v>
      </c>
      <c r="L15" s="271"/>
      <c r="M15" s="271"/>
      <c r="N15" s="271"/>
      <c r="O15" s="271"/>
      <c r="P15" s="271"/>
      <c r="Q15" s="271"/>
      <c r="R15" s="271"/>
      <c r="S15" s="271"/>
      <c r="T15" s="271"/>
      <c r="U15" s="271"/>
      <c r="V15" s="271"/>
      <c r="W15" s="271"/>
      <c r="X15" s="271"/>
      <c r="Y15" s="271"/>
      <c r="Z15" s="271"/>
      <c r="AA15" s="271"/>
    </row>
    <row r="16" ht="22.5" customHeight="1">
      <c r="A16" s="271"/>
      <c r="B16" s="277" t="s">
        <v>438</v>
      </c>
      <c r="C16" s="278" t="s">
        <v>464</v>
      </c>
      <c r="D16" s="273" t="s">
        <v>465</v>
      </c>
      <c r="E16" s="257"/>
      <c r="F16" s="281" t="s">
        <v>438</v>
      </c>
      <c r="G16" s="282" t="s">
        <v>466</v>
      </c>
      <c r="H16" s="283" t="s">
        <v>438</v>
      </c>
      <c r="I16" s="284" t="s">
        <v>467</v>
      </c>
      <c r="J16" s="285" t="s">
        <v>438</v>
      </c>
      <c r="K16" s="286" t="s">
        <v>468</v>
      </c>
      <c r="L16" s="271"/>
      <c r="M16" s="271"/>
      <c r="N16" s="271"/>
      <c r="O16" s="271"/>
      <c r="P16" s="271"/>
      <c r="Q16" s="271"/>
      <c r="R16" s="271"/>
      <c r="S16" s="271"/>
      <c r="T16" s="271"/>
      <c r="U16" s="271"/>
      <c r="V16" s="271"/>
      <c r="W16" s="271"/>
      <c r="X16" s="271"/>
      <c r="Y16" s="271"/>
      <c r="Z16" s="271"/>
      <c r="AA16" s="271"/>
    </row>
    <row r="17" ht="22.5" customHeight="1">
      <c r="A17" s="271"/>
      <c r="B17" s="272" t="s">
        <v>469</v>
      </c>
      <c r="C17" s="257"/>
      <c r="D17" s="279" t="s">
        <v>438</v>
      </c>
      <c r="E17" s="280" t="s">
        <v>301</v>
      </c>
      <c r="F17" s="274" t="s">
        <v>470</v>
      </c>
      <c r="G17" s="257"/>
      <c r="H17" s="283" t="s">
        <v>438</v>
      </c>
      <c r="I17" s="284" t="s">
        <v>471</v>
      </c>
      <c r="J17" s="276" t="s">
        <v>472</v>
      </c>
      <c r="K17" s="257"/>
      <c r="L17" s="271"/>
      <c r="M17" s="271"/>
      <c r="N17" s="271"/>
      <c r="O17" s="271"/>
      <c r="P17" s="271"/>
      <c r="Q17" s="271"/>
      <c r="R17" s="271"/>
      <c r="S17" s="271"/>
      <c r="T17" s="271"/>
      <c r="U17" s="271"/>
      <c r="V17" s="271"/>
      <c r="W17" s="271"/>
      <c r="X17" s="271"/>
      <c r="Y17" s="271"/>
      <c r="Z17" s="271"/>
      <c r="AA17" s="271"/>
    </row>
    <row r="18" ht="22.5" customHeight="1">
      <c r="A18" s="271"/>
      <c r="B18" s="277" t="s">
        <v>438</v>
      </c>
      <c r="C18" s="278" t="s">
        <v>473</v>
      </c>
      <c r="D18" s="279"/>
      <c r="E18" s="280"/>
      <c r="F18" s="281" t="s">
        <v>438</v>
      </c>
      <c r="G18" s="282" t="s">
        <v>473</v>
      </c>
      <c r="H18" s="283" t="s">
        <v>438</v>
      </c>
      <c r="I18" s="284" t="s">
        <v>162</v>
      </c>
      <c r="J18" s="286"/>
      <c r="K18" s="286"/>
      <c r="L18" s="271"/>
      <c r="M18" s="271"/>
      <c r="N18" s="271"/>
      <c r="O18" s="271"/>
      <c r="P18" s="271"/>
      <c r="Q18" s="271"/>
      <c r="R18" s="271"/>
      <c r="S18" s="271"/>
      <c r="T18" s="271"/>
      <c r="U18" s="271"/>
      <c r="V18" s="271"/>
      <c r="W18" s="271"/>
      <c r="X18" s="271"/>
      <c r="Y18" s="271"/>
      <c r="Z18" s="271"/>
      <c r="AA18" s="271"/>
    </row>
    <row r="19" ht="22.5" customHeight="1">
      <c r="A19" s="271"/>
      <c r="B19" s="277" t="s">
        <v>438</v>
      </c>
      <c r="C19" s="278" t="s">
        <v>150</v>
      </c>
      <c r="D19" s="279"/>
      <c r="E19" s="280"/>
      <c r="F19" s="281"/>
      <c r="G19" s="282"/>
      <c r="H19" s="283"/>
      <c r="I19" s="284"/>
      <c r="J19" s="286"/>
      <c r="K19" s="286"/>
      <c r="L19" s="271"/>
      <c r="M19" s="271"/>
      <c r="N19" s="271"/>
      <c r="O19" s="271"/>
      <c r="P19" s="271"/>
      <c r="Q19" s="271"/>
      <c r="R19" s="271"/>
      <c r="S19" s="271"/>
      <c r="T19" s="271"/>
      <c r="U19" s="271"/>
      <c r="V19" s="271"/>
      <c r="W19" s="271"/>
      <c r="X19" s="271"/>
      <c r="Y19" s="271"/>
      <c r="Z19" s="271"/>
      <c r="AA19" s="271"/>
    </row>
    <row r="20" ht="22.5" customHeight="1">
      <c r="A20" s="271"/>
      <c r="B20" s="277"/>
      <c r="C20" s="278"/>
      <c r="D20" s="279"/>
      <c r="E20" s="280"/>
      <c r="F20" s="282"/>
      <c r="G20" s="282"/>
      <c r="H20" s="283"/>
      <c r="I20" s="284"/>
      <c r="J20" s="286"/>
      <c r="K20" s="286"/>
      <c r="L20" s="271"/>
      <c r="M20" s="271"/>
      <c r="N20" s="271"/>
      <c r="O20" s="271"/>
      <c r="P20" s="271"/>
      <c r="Q20" s="271"/>
      <c r="R20" s="271"/>
      <c r="S20" s="271"/>
      <c r="T20" s="271"/>
      <c r="U20" s="271"/>
      <c r="V20" s="271"/>
      <c r="W20" s="271"/>
      <c r="X20" s="271"/>
      <c r="Y20" s="271"/>
      <c r="Z20" s="271"/>
      <c r="AA20" s="271"/>
    </row>
    <row r="21" ht="22.5" customHeight="1">
      <c r="B21" s="277"/>
      <c r="C21" s="278"/>
      <c r="D21" s="279"/>
      <c r="E21" s="280"/>
      <c r="F21" s="282"/>
      <c r="G21" s="282"/>
      <c r="H21" s="283"/>
      <c r="I21" s="284"/>
      <c r="J21" s="286"/>
      <c r="K21" s="286"/>
    </row>
    <row r="22" ht="22.5" customHeight="1"/>
    <row r="23" ht="22.5" customHeight="1"/>
    <row r="24" ht="22.5" customHeight="1">
      <c r="B24" s="8"/>
      <c r="C24" s="287"/>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1:H1"/>
    <mergeCell ref="B2:H2"/>
    <mergeCell ref="B3:C3"/>
    <mergeCell ref="D3:E3"/>
    <mergeCell ref="F3:G3"/>
    <mergeCell ref="D4:E4"/>
    <mergeCell ref="F4:G4"/>
    <mergeCell ref="H7:I7"/>
    <mergeCell ref="J7:K7"/>
    <mergeCell ref="B4:C4"/>
    <mergeCell ref="B6:C6"/>
    <mergeCell ref="D6:E6"/>
    <mergeCell ref="F6:G6"/>
    <mergeCell ref="H6:I6"/>
    <mergeCell ref="J6:K6"/>
    <mergeCell ref="B7:C7"/>
    <mergeCell ref="B12:C12"/>
    <mergeCell ref="H12:I12"/>
    <mergeCell ref="F15:G15"/>
    <mergeCell ref="D16:E16"/>
    <mergeCell ref="B17:C17"/>
    <mergeCell ref="F17:G17"/>
    <mergeCell ref="J17:K17"/>
    <mergeCell ref="D7:E7"/>
    <mergeCell ref="F7:G7"/>
    <mergeCell ref="B9:C9"/>
    <mergeCell ref="D9:E9"/>
    <mergeCell ref="F9:G9"/>
    <mergeCell ref="H9:I9"/>
    <mergeCell ref="J9:K9"/>
  </mergeCells>
  <printOptions gridLines="1" horizontalCentered="1"/>
  <pageMargins bottom="0.75" footer="0.0" header="0.0" left="0.25" right="0.25" top="0.75"/>
  <pageSetup fitToHeight="0" paperSize="8"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63"/>
    <col customWidth="1" min="2" max="2" width="6.38"/>
    <col customWidth="1" min="3" max="3" width="27.38"/>
    <col customWidth="1" min="4" max="4" width="17.0"/>
    <col customWidth="1" min="5" max="5" width="22.0"/>
    <col customWidth="1" min="6" max="6" width="6.38"/>
  </cols>
  <sheetData>
    <row r="1" ht="15.75" customHeight="1"/>
    <row r="2" ht="37.5" customHeight="1">
      <c r="B2" s="288" t="s">
        <v>30</v>
      </c>
      <c r="C2" s="257"/>
      <c r="D2" s="288" t="s">
        <v>474</v>
      </c>
      <c r="E2" s="289"/>
      <c r="F2" s="257"/>
    </row>
    <row r="3" ht="37.5" customHeight="1">
      <c r="B3" s="290">
        <v>261897.66150000002</v>
      </c>
      <c r="C3" s="257"/>
      <c r="D3" s="290">
        <f>SUM(D6,D12,D17,D23,D29)</f>
        <v>261897.6615</v>
      </c>
      <c r="E3" s="289"/>
      <c r="F3" s="257"/>
    </row>
    <row r="4" ht="15.75" customHeight="1"/>
    <row r="5" ht="18.75" customHeight="1">
      <c r="B5" s="291"/>
      <c r="C5" s="291"/>
      <c r="D5" s="292"/>
      <c r="E5" s="291"/>
      <c r="F5" s="291"/>
    </row>
    <row r="6" ht="18.75" customHeight="1">
      <c r="B6" s="291"/>
      <c r="C6" s="293" t="s">
        <v>475</v>
      </c>
      <c r="D6" s="294">
        <f>SUM(D7:D9)</f>
        <v>60718.038</v>
      </c>
      <c r="E6" s="295" t="s">
        <v>476</v>
      </c>
      <c r="F6" s="291"/>
    </row>
    <row r="7" ht="18.75" customHeight="1">
      <c r="B7" s="291"/>
      <c r="C7" s="296" t="s">
        <v>109</v>
      </c>
      <c r="D7" s="297">
        <f>'PROJECT ESTIMATE Wood Deck'!F65</f>
        <v>20400</v>
      </c>
      <c r="E7" s="295"/>
      <c r="F7" s="291"/>
    </row>
    <row r="8" ht="18.75" customHeight="1">
      <c r="B8" s="291"/>
      <c r="C8" s="296" t="s">
        <v>142</v>
      </c>
      <c r="D8" s="297">
        <f>'PROJECT ESTIMATE Wood Deck'!F66</f>
        <v>30718.038</v>
      </c>
      <c r="E8" s="295"/>
      <c r="F8" s="291"/>
    </row>
    <row r="9" ht="18.75" customHeight="1">
      <c r="B9" s="291"/>
      <c r="C9" s="296" t="s">
        <v>115</v>
      </c>
      <c r="D9" s="297">
        <f>'PROJECT ESTIMATE Wood Deck'!F67/2</f>
        <v>9600</v>
      </c>
      <c r="E9" s="295"/>
      <c r="F9" s="291"/>
    </row>
    <row r="10" ht="7.5" customHeight="1">
      <c r="B10" s="291"/>
      <c r="C10" s="298"/>
      <c r="D10" s="299"/>
      <c r="E10" s="300"/>
      <c r="F10" s="291"/>
    </row>
    <row r="11" ht="7.5" customHeight="1">
      <c r="B11" s="291"/>
      <c r="C11" s="293"/>
      <c r="D11" s="301"/>
      <c r="E11" s="291"/>
      <c r="F11" s="291"/>
    </row>
    <row r="12" ht="18.75" customHeight="1">
      <c r="B12" s="291"/>
      <c r="C12" s="293" t="s">
        <v>477</v>
      </c>
      <c r="D12" s="294">
        <f>SUM(D13:D14)</f>
        <v>64237.0755</v>
      </c>
      <c r="E12" s="295" t="s">
        <v>478</v>
      </c>
      <c r="F12" s="291"/>
    </row>
    <row r="13" ht="18.75" customHeight="1">
      <c r="B13" s="291"/>
      <c r="C13" s="296" t="s">
        <v>115</v>
      </c>
      <c r="D13" s="297">
        <f>'PROJECT ESTIMATE Wood Deck'!F67/2</f>
        <v>9600</v>
      </c>
      <c r="E13" s="295"/>
      <c r="F13" s="291"/>
    </row>
    <row r="14" ht="18.75" customHeight="1">
      <c r="B14" s="291"/>
      <c r="C14" s="296" t="s">
        <v>151</v>
      </c>
      <c r="D14" s="297">
        <f>'PROJECT ESTIMATE Wood Deck'!F68</f>
        <v>54637.0755</v>
      </c>
      <c r="E14" s="295"/>
      <c r="F14" s="291"/>
    </row>
    <row r="15" ht="7.5" customHeight="1">
      <c r="B15" s="291"/>
      <c r="C15" s="298"/>
      <c r="D15" s="299"/>
      <c r="E15" s="300"/>
      <c r="F15" s="291"/>
    </row>
    <row r="16" ht="7.5" customHeight="1">
      <c r="B16" s="291"/>
      <c r="C16" s="293"/>
      <c r="D16" s="301"/>
      <c r="E16" s="291"/>
      <c r="F16" s="291"/>
    </row>
    <row r="17" ht="18.75" customHeight="1">
      <c r="B17" s="291"/>
      <c r="C17" s="293" t="s">
        <v>479</v>
      </c>
      <c r="D17" s="294">
        <f>SUM(D18:D20)</f>
        <v>58066.497</v>
      </c>
      <c r="E17" s="295" t="s">
        <v>478</v>
      </c>
      <c r="F17" s="291"/>
    </row>
    <row r="18" ht="18.75" customHeight="1">
      <c r="B18" s="291"/>
      <c r="C18" s="296" t="s">
        <v>154</v>
      </c>
      <c r="D18" s="297">
        <f>'PROJECT ESTIMATE Wood Deck'!F69</f>
        <v>34731.798</v>
      </c>
      <c r="E18" s="295"/>
      <c r="F18" s="291"/>
    </row>
    <row r="19" ht="18.75" customHeight="1">
      <c r="B19" s="291"/>
      <c r="C19" s="296" t="s">
        <v>157</v>
      </c>
      <c r="D19" s="297">
        <f>'PROJECT ESTIMATE Wood Deck'!F70</f>
        <v>12921.864</v>
      </c>
      <c r="E19" s="295"/>
      <c r="F19" s="291"/>
    </row>
    <row r="20" ht="18.75" customHeight="1">
      <c r="B20" s="291"/>
      <c r="C20" s="296" t="s">
        <v>119</v>
      </c>
      <c r="D20" s="297">
        <f>'PROJECT ESTIMATE Wood Deck'!F71/2</f>
        <v>10412.835</v>
      </c>
      <c r="E20" s="295"/>
      <c r="F20" s="291"/>
    </row>
    <row r="21" ht="7.5" customHeight="1">
      <c r="B21" s="291"/>
      <c r="C21" s="298"/>
      <c r="D21" s="299"/>
      <c r="E21" s="300"/>
      <c r="F21" s="291"/>
    </row>
    <row r="22" ht="7.5" customHeight="1">
      <c r="B22" s="291"/>
      <c r="C22" s="293"/>
      <c r="D22" s="301"/>
      <c r="E22" s="291"/>
      <c r="F22" s="291"/>
    </row>
    <row r="23" ht="18.75" customHeight="1">
      <c r="B23" s="291"/>
      <c r="C23" s="293" t="s">
        <v>480</v>
      </c>
      <c r="D23" s="294">
        <f>SUM(D24:D26)</f>
        <v>57226.971</v>
      </c>
      <c r="E23" s="291"/>
      <c r="F23" s="291"/>
    </row>
    <row r="24" ht="18.75" customHeight="1">
      <c r="B24" s="291"/>
      <c r="C24" s="296" t="s">
        <v>160</v>
      </c>
      <c r="D24" s="297">
        <f>'PROJECT ESTIMATE Wood Deck'!F72</f>
        <v>24614.136</v>
      </c>
      <c r="E24" s="291"/>
      <c r="F24" s="291"/>
    </row>
    <row r="25" ht="18.75" customHeight="1">
      <c r="B25" s="291"/>
      <c r="C25" s="296" t="s">
        <v>119</v>
      </c>
      <c r="D25" s="297">
        <f>'PROJECT ESTIMATE Wood Deck'!F71/2</f>
        <v>10412.835</v>
      </c>
      <c r="E25" s="291"/>
      <c r="F25" s="291"/>
    </row>
    <row r="26" ht="18.75" customHeight="1">
      <c r="B26" s="291"/>
      <c r="C26" s="296" t="s">
        <v>163</v>
      </c>
      <c r="D26" s="297">
        <f>'PROJECT ESTIMATE Wood Deck'!F73</f>
        <v>22200</v>
      </c>
      <c r="E26" s="291"/>
      <c r="F26" s="291"/>
    </row>
    <row r="27" ht="7.5" customHeight="1">
      <c r="B27" s="291"/>
      <c r="C27" s="298"/>
      <c r="D27" s="299"/>
      <c r="E27" s="300"/>
      <c r="F27" s="291"/>
    </row>
    <row r="28" ht="7.5" customHeight="1">
      <c r="B28" s="291"/>
      <c r="C28" s="293"/>
      <c r="D28" s="301"/>
      <c r="E28" s="291"/>
      <c r="F28" s="291"/>
    </row>
    <row r="29" ht="18.75" customHeight="1">
      <c r="B29" s="291"/>
      <c r="C29" s="293" t="s">
        <v>481</v>
      </c>
      <c r="D29" s="294">
        <f>SUM(D30:D31)</f>
        <v>21649.08</v>
      </c>
      <c r="E29" s="291"/>
      <c r="F29" s="291"/>
    </row>
    <row r="30" ht="18.75" customHeight="1">
      <c r="B30" s="291"/>
      <c r="C30" s="296" t="s">
        <v>166</v>
      </c>
      <c r="D30" s="297">
        <f>'PROJECT ESTIMATE Wood Deck'!F74</f>
        <v>19249.08</v>
      </c>
      <c r="E30" s="291"/>
      <c r="F30" s="291"/>
    </row>
    <row r="31" ht="18.75" customHeight="1">
      <c r="B31" s="291"/>
      <c r="C31" s="296" t="s">
        <v>168</v>
      </c>
      <c r="D31" s="297">
        <f>'PROJECT ESTIMATE Wood Deck'!F75</f>
        <v>2400</v>
      </c>
      <c r="E31" s="291"/>
      <c r="F31" s="291"/>
    </row>
    <row r="32" ht="18.75" customHeight="1">
      <c r="B32" s="291"/>
      <c r="C32" s="291"/>
      <c r="D32" s="291"/>
      <c r="E32" s="291"/>
      <c r="F32" s="291"/>
    </row>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D2:F2"/>
    <mergeCell ref="B3:C3"/>
    <mergeCell ref="D3:F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12.63"/>
    <col customWidth="1" min="3" max="3" width="25.63"/>
    <col customWidth="1" min="4" max="6" width="12.63"/>
  </cols>
  <sheetData>
    <row r="1" ht="15.75" customHeight="1">
      <c r="C1" s="302" t="s">
        <v>482</v>
      </c>
      <c r="D1" s="302"/>
      <c r="E1" s="303">
        <v>0.0</v>
      </c>
    </row>
    <row r="2" ht="15.75" customHeight="1">
      <c r="C2" s="302" t="s">
        <v>483</v>
      </c>
      <c r="D2" s="304">
        <f>'PROJECT ESTIMATE'!F64</f>
        <v>261897.6615</v>
      </c>
      <c r="E2" s="291"/>
    </row>
    <row r="3" ht="15.75" customHeight="1">
      <c r="C3" s="305" t="s">
        <v>484</v>
      </c>
    </row>
    <row r="4" ht="15.75" customHeight="1">
      <c r="C4" s="11" t="str">
        <f>'PROJECT ESTIMATE'!C78</f>
        <v>     Foundation</v>
      </c>
    </row>
    <row r="5" ht="15.75" customHeight="1">
      <c r="C5" s="11" t="str">
        <f>'PROJECT ESTIMATE'!C79</f>
        <v>     Appliances Purchase</v>
      </c>
    </row>
    <row r="6" ht="15.75" customHeight="1">
      <c r="C6" s="11" t="str">
        <f>'PROJECT ESTIMATE'!C80</f>
        <v>     Solar Energy</v>
      </c>
      <c r="D6" s="306"/>
    </row>
    <row r="7" ht="15.75" customHeight="1">
      <c r="C7" s="11" t="str">
        <f>'PROJECT ESTIMATE'!C81</f>
        <v>     Site Electric</v>
      </c>
    </row>
    <row r="8" ht="15.75" customHeight="1">
      <c r="C8" s="11" t="str">
        <f>'PROJECT ESTIMATE'!C82</f>
        <v>     Site Plumbing</v>
      </c>
    </row>
    <row r="9" ht="15.75" customHeight="1">
      <c r="C9" s="11" t="str">
        <f>'PROJECT ESTIMATE'!C83</f>
        <v>     Bio Garden</v>
      </c>
    </row>
    <row r="10" ht="15.75" customHeight="1">
      <c r="C10" s="11" t="str">
        <f>'PROJECT ESTIMATE'!C84</f>
        <v>     Pool</v>
      </c>
      <c r="D10" s="306"/>
    </row>
    <row r="11" ht="15.75" customHeight="1">
      <c r="C11" s="11" t="str">
        <f>'PROJECT ESTIMATE'!C85</f>
        <v>     Steel Structure</v>
      </c>
      <c r="D11" s="306"/>
    </row>
    <row r="12" ht="15.75" customHeight="1">
      <c r="C12" s="11" t="str">
        <f>'PROJECT ESTIMATE'!C86</f>
        <v>     Decking</v>
      </c>
    </row>
    <row r="13" ht="15.75" customHeight="1">
      <c r="C13" s="11" t="str">
        <f>'PROJECT ESTIMATE'!C87</f>
        <v>     Site Work</v>
      </c>
      <c r="D13" s="306"/>
    </row>
    <row r="14" ht="15.75" customHeight="1">
      <c r="C14" s="11" t="str">
        <f>'PROJECT ESTIMATE'!C88</f>
        <v>     Furniture &amp; Interior Elements</v>
      </c>
    </row>
    <row r="15" ht="15.75" customHeight="1">
      <c r="C15" s="11" t="str">
        <f>'PROJECT ESTIMATE'!C89</f>
        <v>     Windows &amp; Doors (Exterior Structure)</v>
      </c>
      <c r="D15" s="306"/>
    </row>
    <row r="16" ht="15.75" customHeight="1">
      <c r="C16" s="11" t="str">
        <f>'PROJECT ESTIMATE'!C90</f>
        <v>     Closet Build</v>
      </c>
    </row>
    <row r="17" ht="15.75" customHeight="1">
      <c r="C17" s="11" t="s">
        <v>485</v>
      </c>
      <c r="D17" s="306"/>
    </row>
    <row r="18" ht="15.75" customHeight="1">
      <c r="C18" s="302" t="s">
        <v>486</v>
      </c>
      <c r="D18" s="302"/>
      <c r="E18" s="303">
        <f>E1-SUM(D2:D17)</f>
        <v>-261897.6615</v>
      </c>
    </row>
    <row r="19" ht="15.75" customHeight="1"/>
    <row r="20" ht="15.75" customHeight="1">
      <c r="C20" s="307"/>
      <c r="D20" s="308"/>
      <c r="E20" s="308"/>
    </row>
    <row r="21" ht="15.75" customHeight="1">
      <c r="C21" s="307"/>
      <c r="D21" s="308"/>
      <c r="E21" s="308"/>
    </row>
    <row r="22" ht="15.75" customHeight="1">
      <c r="C22" s="307"/>
      <c r="D22" s="308"/>
      <c r="E22" s="30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63"/>
    <col customWidth="1" min="2" max="2" width="6.38"/>
    <col customWidth="1" min="3" max="3" width="25.13"/>
    <col customWidth="1" min="4" max="4" width="31.38"/>
    <col customWidth="1" min="5" max="5" width="18.88"/>
    <col customWidth="1" min="6" max="6" width="37.63"/>
    <col customWidth="1" min="7" max="7" width="6.38"/>
  </cols>
  <sheetData>
    <row r="1" ht="15.75" customHeight="1">
      <c r="A1" s="6"/>
      <c r="B1" s="6"/>
      <c r="C1" s="6"/>
      <c r="D1" s="6"/>
      <c r="E1" s="6"/>
      <c r="F1" s="6"/>
      <c r="G1" s="6"/>
      <c r="H1" s="6"/>
      <c r="I1" s="6"/>
      <c r="J1" s="6"/>
      <c r="K1" s="6"/>
      <c r="L1" s="6"/>
      <c r="M1" s="6"/>
      <c r="N1" s="6"/>
      <c r="O1" s="6"/>
      <c r="P1" s="6"/>
      <c r="Q1" s="6"/>
      <c r="R1" s="6"/>
      <c r="S1" s="6"/>
      <c r="T1" s="6"/>
      <c r="U1" s="6"/>
      <c r="V1" s="6"/>
      <c r="W1" s="6"/>
      <c r="X1" s="6"/>
      <c r="Y1" s="6"/>
      <c r="Z1" s="6"/>
    </row>
    <row r="2" ht="97.5" customHeight="1">
      <c r="A2" s="6"/>
      <c r="B2" s="130" t="s">
        <v>308</v>
      </c>
      <c r="F2" s="6"/>
      <c r="G2" s="6"/>
      <c r="H2" s="6"/>
      <c r="I2" s="6"/>
      <c r="J2" s="6"/>
      <c r="K2" s="6"/>
      <c r="L2" s="6"/>
      <c r="M2" s="6"/>
      <c r="N2" s="6"/>
      <c r="O2" s="6"/>
      <c r="P2" s="6"/>
      <c r="Q2" s="6"/>
      <c r="R2" s="6"/>
      <c r="S2" s="6"/>
      <c r="T2" s="6"/>
      <c r="U2" s="6"/>
      <c r="V2" s="6"/>
      <c r="W2" s="6"/>
      <c r="X2" s="6"/>
      <c r="Y2" s="6"/>
      <c r="Z2" s="6"/>
    </row>
    <row r="3" ht="37.5" customHeight="1">
      <c r="A3" s="6"/>
      <c r="B3" s="6"/>
      <c r="C3" s="6"/>
      <c r="D3" s="6"/>
      <c r="E3" s="6"/>
      <c r="F3" s="6"/>
      <c r="G3" s="6"/>
      <c r="H3" s="6"/>
      <c r="I3" s="6"/>
      <c r="J3" s="6"/>
      <c r="K3" s="6"/>
      <c r="L3" s="6"/>
      <c r="M3" s="6"/>
      <c r="N3" s="6"/>
      <c r="O3" s="6"/>
      <c r="P3" s="6"/>
      <c r="Q3" s="6"/>
      <c r="R3" s="6"/>
      <c r="S3" s="6"/>
      <c r="T3" s="6"/>
      <c r="U3" s="6"/>
      <c r="V3" s="6"/>
      <c r="W3" s="6"/>
      <c r="X3" s="6"/>
      <c r="Y3" s="6"/>
      <c r="Z3" s="6"/>
    </row>
    <row r="4" ht="37.5" customHeight="1">
      <c r="A4" s="6"/>
      <c r="B4" s="309"/>
      <c r="C4" s="309"/>
      <c r="D4" s="309"/>
      <c r="E4" s="6"/>
      <c r="F4" s="6"/>
      <c r="G4" s="6"/>
      <c r="H4" s="6"/>
      <c r="I4" s="6"/>
      <c r="J4" s="6"/>
      <c r="K4" s="6"/>
      <c r="L4" s="6"/>
      <c r="M4" s="6"/>
      <c r="N4" s="6"/>
      <c r="O4" s="6"/>
      <c r="P4" s="6"/>
      <c r="Q4" s="6"/>
      <c r="R4" s="6"/>
      <c r="S4" s="6"/>
      <c r="T4" s="6"/>
      <c r="U4" s="6"/>
      <c r="V4" s="6"/>
      <c r="W4" s="6"/>
      <c r="X4" s="6"/>
      <c r="Y4" s="6"/>
      <c r="Z4" s="6"/>
    </row>
    <row r="5" ht="37.5" customHeight="1">
      <c r="A5" s="310"/>
      <c r="B5" s="311"/>
      <c r="C5" s="312" t="s">
        <v>309</v>
      </c>
      <c r="D5" s="313" t="s">
        <v>31</v>
      </c>
      <c r="E5" s="34"/>
      <c r="F5" s="173" t="s">
        <v>311</v>
      </c>
      <c r="G5" s="6"/>
      <c r="H5" s="6"/>
      <c r="I5" s="6"/>
      <c r="J5" s="6"/>
      <c r="K5" s="6"/>
      <c r="L5" s="6"/>
      <c r="M5" s="6"/>
      <c r="N5" s="6"/>
      <c r="O5" s="6"/>
      <c r="P5" s="6"/>
      <c r="Q5" s="6"/>
      <c r="R5" s="6"/>
      <c r="S5" s="6"/>
      <c r="T5" s="6"/>
      <c r="U5" s="6"/>
      <c r="V5" s="6"/>
      <c r="W5" s="6"/>
      <c r="X5" s="6"/>
      <c r="Y5" s="6"/>
      <c r="Z5" s="6"/>
    </row>
    <row r="6" ht="15.75" customHeight="1">
      <c r="A6" s="6"/>
      <c r="B6" s="309"/>
      <c r="C6" s="314"/>
      <c r="D6" s="314"/>
      <c r="E6" s="34"/>
      <c r="F6" s="34"/>
      <c r="G6" s="6"/>
      <c r="H6" s="6"/>
      <c r="I6" s="6"/>
      <c r="J6" s="6"/>
      <c r="K6" s="6"/>
      <c r="L6" s="6"/>
      <c r="M6" s="6"/>
      <c r="N6" s="6"/>
      <c r="O6" s="6"/>
      <c r="P6" s="6"/>
      <c r="Q6" s="6"/>
      <c r="R6" s="6"/>
      <c r="S6" s="6"/>
      <c r="T6" s="6"/>
      <c r="U6" s="6"/>
      <c r="V6" s="6"/>
      <c r="W6" s="6"/>
      <c r="X6" s="6"/>
      <c r="Y6" s="6"/>
      <c r="Z6" s="6"/>
    </row>
    <row r="7" ht="37.5" customHeight="1">
      <c r="A7" s="310"/>
      <c r="B7" s="311"/>
      <c r="C7" s="315" t="s">
        <v>312</v>
      </c>
      <c r="D7" s="316">
        <f>TODAY()</f>
        <v>46043</v>
      </c>
      <c r="E7" s="139" t="b">
        <v>0</v>
      </c>
      <c r="F7" s="220" t="s">
        <v>313</v>
      </c>
      <c r="G7" s="6"/>
      <c r="H7" s="6"/>
      <c r="I7" s="6"/>
      <c r="J7" s="6"/>
      <c r="K7" s="6"/>
      <c r="L7" s="6"/>
      <c r="M7" s="6"/>
      <c r="N7" s="6"/>
      <c r="O7" s="6"/>
      <c r="P7" s="6"/>
      <c r="Q7" s="6"/>
      <c r="R7" s="6"/>
      <c r="S7" s="6"/>
      <c r="T7" s="6"/>
      <c r="U7" s="6"/>
      <c r="V7" s="6"/>
      <c r="W7" s="6"/>
      <c r="X7" s="6"/>
      <c r="Y7" s="6"/>
      <c r="Z7" s="6"/>
    </row>
    <row r="8" ht="15.75" customHeight="1">
      <c r="A8" s="6"/>
      <c r="B8" s="309"/>
      <c r="C8" s="314"/>
      <c r="D8" s="314"/>
      <c r="E8" s="139"/>
      <c r="F8" s="34"/>
      <c r="G8" s="6"/>
      <c r="H8" s="6"/>
      <c r="I8" s="6"/>
      <c r="J8" s="6"/>
      <c r="K8" s="6"/>
      <c r="L8" s="6"/>
      <c r="M8" s="6"/>
      <c r="N8" s="6"/>
      <c r="O8" s="6"/>
      <c r="P8" s="6"/>
      <c r="Q8" s="6"/>
      <c r="R8" s="6"/>
      <c r="S8" s="6"/>
      <c r="T8" s="6"/>
      <c r="U8" s="6"/>
      <c r="V8" s="6"/>
      <c r="W8" s="6"/>
      <c r="X8" s="6"/>
      <c r="Y8" s="6"/>
      <c r="Z8" s="6"/>
    </row>
    <row r="9" ht="37.5" customHeight="1">
      <c r="A9" s="310"/>
      <c r="B9" s="311"/>
      <c r="C9" s="315" t="s">
        <v>314</v>
      </c>
      <c r="D9" s="317" t="s">
        <v>32</v>
      </c>
      <c r="E9" s="139" t="b">
        <v>0</v>
      </c>
      <c r="F9" s="220" t="s">
        <v>315</v>
      </c>
      <c r="G9" s="6"/>
      <c r="H9" s="6"/>
      <c r="I9" s="6"/>
      <c r="J9" s="6"/>
      <c r="K9" s="6"/>
      <c r="L9" s="6"/>
      <c r="M9" s="6"/>
      <c r="N9" s="6"/>
      <c r="O9" s="6"/>
      <c r="P9" s="6"/>
      <c r="Q9" s="6"/>
      <c r="R9" s="6"/>
      <c r="S9" s="6"/>
      <c r="T9" s="6"/>
      <c r="U9" s="6"/>
      <c r="V9" s="6"/>
      <c r="W9" s="6"/>
      <c r="X9" s="6"/>
      <c r="Y9" s="6"/>
      <c r="Z9" s="6"/>
    </row>
    <row r="10" ht="15.75" customHeight="1">
      <c r="A10" s="6"/>
      <c r="B10" s="309"/>
      <c r="C10" s="314"/>
      <c r="D10" s="314"/>
      <c r="E10" s="139"/>
      <c r="F10" s="34"/>
      <c r="G10" s="6"/>
      <c r="H10" s="6"/>
      <c r="I10" s="6"/>
      <c r="J10" s="6"/>
      <c r="K10" s="6"/>
      <c r="L10" s="6"/>
      <c r="M10" s="6"/>
      <c r="N10" s="6"/>
      <c r="O10" s="6"/>
      <c r="P10" s="6"/>
      <c r="Q10" s="6"/>
      <c r="R10" s="6"/>
      <c r="S10" s="6"/>
      <c r="T10" s="6"/>
      <c r="U10" s="6"/>
      <c r="V10" s="6"/>
      <c r="W10" s="6"/>
      <c r="X10" s="6"/>
      <c r="Y10" s="6"/>
      <c r="Z10" s="6"/>
    </row>
    <row r="11" ht="37.5" customHeight="1">
      <c r="A11" s="310"/>
      <c r="B11" s="311"/>
      <c r="C11" s="315" t="s">
        <v>487</v>
      </c>
      <c r="D11" s="317" t="s">
        <v>488</v>
      </c>
      <c r="E11" s="139" t="b">
        <v>0</v>
      </c>
      <c r="F11" s="220" t="s">
        <v>318</v>
      </c>
      <c r="G11" s="6"/>
      <c r="H11" s="6"/>
      <c r="I11" s="6"/>
      <c r="J11" s="6"/>
      <c r="K11" s="6"/>
      <c r="L11" s="6"/>
      <c r="M11" s="6"/>
      <c r="N11" s="6"/>
      <c r="O11" s="6"/>
      <c r="P11" s="6"/>
      <c r="Q11" s="6"/>
      <c r="R11" s="6"/>
      <c r="S11" s="6"/>
      <c r="T11" s="6"/>
      <c r="U11" s="6"/>
      <c r="V11" s="6"/>
      <c r="W11" s="6"/>
      <c r="X11" s="6"/>
      <c r="Y11" s="6"/>
      <c r="Z11" s="6"/>
    </row>
    <row r="12" ht="37.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37.5" customHeight="1">
      <c r="A13" s="6"/>
      <c r="B13" s="318"/>
      <c r="C13" s="319" t="s">
        <v>319</v>
      </c>
      <c r="D13" s="320"/>
      <c r="E13" s="320"/>
      <c r="F13" s="320"/>
      <c r="G13" s="320"/>
      <c r="H13" s="6"/>
      <c r="I13" s="6"/>
      <c r="J13" s="6"/>
      <c r="K13" s="6"/>
      <c r="L13" s="6"/>
      <c r="M13" s="6"/>
      <c r="N13" s="6"/>
      <c r="O13" s="6"/>
      <c r="P13" s="6"/>
      <c r="Q13" s="6"/>
      <c r="R13" s="6"/>
      <c r="S13" s="6"/>
      <c r="T13" s="6"/>
      <c r="U13" s="6"/>
      <c r="V13" s="6"/>
      <c r="W13" s="6"/>
      <c r="X13" s="6"/>
      <c r="Y13" s="6"/>
      <c r="Z13" s="6"/>
    </row>
    <row r="14" ht="56.25" customHeight="1">
      <c r="A14" s="6"/>
      <c r="B14" s="318"/>
      <c r="C14" s="321" t="s">
        <v>79</v>
      </c>
      <c r="D14" s="322" t="str">
        <f>VLOOKUP(C14,DATA!B35:D38,3,FALSE)</f>
        <v>[LOW RISK] KONTi and it's stakeholders are sure of what to do and how it is to be done. We feel confident on delivering the project early or under budget.</v>
      </c>
      <c r="E14" s="289"/>
      <c r="F14" s="257"/>
      <c r="G14" s="321"/>
      <c r="H14" s="6"/>
      <c r="I14" s="6"/>
      <c r="J14" s="6"/>
      <c r="K14" s="6"/>
      <c r="L14" s="6"/>
      <c r="M14" s="6"/>
      <c r="N14" s="6"/>
      <c r="O14" s="6"/>
      <c r="P14" s="6"/>
      <c r="Q14" s="6"/>
      <c r="R14" s="6"/>
      <c r="S14" s="6"/>
      <c r="T14" s="6"/>
      <c r="U14" s="6"/>
      <c r="V14" s="6"/>
      <c r="W14" s="6"/>
      <c r="X14" s="6"/>
      <c r="Y14" s="6"/>
      <c r="Z14" s="6"/>
    </row>
    <row r="15" ht="15.75" customHeight="1">
      <c r="A15" s="6"/>
      <c r="B15" s="6"/>
      <c r="C15" s="34"/>
      <c r="D15" s="34"/>
      <c r="E15" s="34"/>
      <c r="F15" s="34"/>
      <c r="G15" s="34"/>
      <c r="H15" s="6"/>
      <c r="I15" s="6"/>
      <c r="J15" s="6"/>
      <c r="K15" s="6"/>
      <c r="L15" s="6"/>
      <c r="M15" s="6"/>
      <c r="N15" s="6"/>
      <c r="O15" s="6"/>
      <c r="P15" s="6"/>
      <c r="Q15" s="6"/>
      <c r="R15" s="6"/>
      <c r="S15" s="6"/>
      <c r="T15" s="6"/>
      <c r="U15" s="6"/>
      <c r="V15" s="6"/>
      <c r="W15" s="6"/>
      <c r="X15" s="6"/>
      <c r="Y15" s="6"/>
      <c r="Z15" s="6"/>
    </row>
    <row r="16" ht="37.5" customHeight="1">
      <c r="A16" s="6"/>
      <c r="B16" s="318"/>
      <c r="C16" s="319" t="s">
        <v>320</v>
      </c>
      <c r="D16" s="320"/>
      <c r="E16" s="320"/>
      <c r="F16" s="320"/>
      <c r="G16" s="320"/>
      <c r="H16" s="6"/>
      <c r="I16" s="6"/>
      <c r="J16" s="6"/>
      <c r="K16" s="6"/>
      <c r="L16" s="6"/>
      <c r="M16" s="6"/>
      <c r="N16" s="6"/>
      <c r="O16" s="6"/>
      <c r="P16" s="6"/>
      <c r="Q16" s="6"/>
      <c r="R16" s="6"/>
      <c r="S16" s="6"/>
      <c r="T16" s="6"/>
      <c r="U16" s="6"/>
      <c r="V16" s="6"/>
      <c r="W16" s="6"/>
      <c r="X16" s="6"/>
      <c r="Y16" s="6"/>
      <c r="Z16" s="6"/>
    </row>
    <row r="17" ht="56.25" customHeight="1">
      <c r="A17" s="6"/>
      <c r="B17" s="318"/>
      <c r="C17" s="322" t="s">
        <v>489</v>
      </c>
      <c r="D17" s="289"/>
      <c r="E17" s="289"/>
      <c r="F17" s="257"/>
      <c r="G17" s="321"/>
      <c r="H17" s="6"/>
      <c r="I17" s="6"/>
      <c r="J17" s="6"/>
      <c r="K17" s="6"/>
      <c r="L17" s="6"/>
      <c r="M17" s="6"/>
      <c r="N17" s="6"/>
      <c r="O17" s="6"/>
      <c r="P17" s="6"/>
      <c r="Q17" s="6"/>
      <c r="R17" s="6"/>
      <c r="S17" s="6"/>
      <c r="T17" s="6"/>
      <c r="U17" s="6"/>
      <c r="V17" s="6"/>
      <c r="W17" s="6"/>
      <c r="X17" s="6"/>
      <c r="Y17" s="6"/>
      <c r="Z17" s="6"/>
    </row>
    <row r="18" ht="3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37.5" customHeight="1">
      <c r="A19" s="6"/>
      <c r="B19" s="6"/>
      <c r="C19" s="309"/>
      <c r="D19" s="309"/>
      <c r="E19" s="309"/>
      <c r="F19" s="309"/>
      <c r="G19" s="6"/>
      <c r="H19" s="6"/>
      <c r="I19" s="6"/>
      <c r="J19" s="6"/>
      <c r="K19" s="6"/>
      <c r="L19" s="6"/>
      <c r="M19" s="6"/>
      <c r="N19" s="6"/>
      <c r="O19" s="6"/>
      <c r="P19" s="6"/>
      <c r="Q19" s="6"/>
      <c r="R19" s="6"/>
      <c r="S19" s="6"/>
      <c r="T19" s="6"/>
      <c r="U19" s="6"/>
      <c r="V19" s="6"/>
      <c r="W19" s="6"/>
      <c r="X19" s="6"/>
      <c r="Y19" s="6"/>
      <c r="Z19" s="6"/>
    </row>
    <row r="20" ht="37.5" customHeight="1">
      <c r="A20" s="6"/>
      <c r="B20" s="6"/>
      <c r="C20" s="323" t="s">
        <v>490</v>
      </c>
      <c r="D20" s="314"/>
      <c r="E20" s="314"/>
      <c r="F20" s="324">
        <f>SUM(E21:E24)</f>
        <v>14036.15</v>
      </c>
      <c r="G20" s="6"/>
      <c r="H20" s="6"/>
      <c r="I20" s="6"/>
      <c r="J20" s="6"/>
      <c r="K20" s="6"/>
      <c r="L20" s="6"/>
      <c r="M20" s="6"/>
      <c r="N20" s="6"/>
      <c r="O20" s="6"/>
      <c r="P20" s="6"/>
      <c r="Q20" s="6"/>
      <c r="R20" s="6"/>
      <c r="S20" s="6"/>
      <c r="T20" s="6"/>
      <c r="U20" s="6"/>
      <c r="V20" s="6"/>
      <c r="W20" s="6"/>
      <c r="X20" s="6"/>
      <c r="Y20" s="6"/>
      <c r="Z20" s="6"/>
    </row>
    <row r="21" ht="37.5" customHeight="1">
      <c r="A21" s="6"/>
      <c r="B21" s="6"/>
      <c r="C21" s="168" t="s">
        <v>407</v>
      </c>
      <c r="D21" s="11"/>
      <c r="E21" s="325">
        <f>F33</f>
        <v>0</v>
      </c>
      <c r="F21" s="11"/>
      <c r="G21" s="6"/>
      <c r="H21" s="6"/>
      <c r="I21" s="6"/>
      <c r="J21" s="6"/>
      <c r="K21" s="6"/>
      <c r="L21" s="6"/>
      <c r="M21" s="6"/>
      <c r="N21" s="6"/>
      <c r="O21" s="6"/>
      <c r="P21" s="6"/>
      <c r="Q21" s="6"/>
      <c r="R21" s="6"/>
      <c r="S21" s="6"/>
      <c r="T21" s="6"/>
      <c r="U21" s="6"/>
      <c r="V21" s="6"/>
      <c r="W21" s="6"/>
      <c r="X21" s="6"/>
      <c r="Y21" s="6"/>
      <c r="Z21" s="6"/>
    </row>
    <row r="22" ht="37.5" customHeight="1">
      <c r="A22" s="6"/>
      <c r="B22" s="6"/>
      <c r="C22" s="168" t="s">
        <v>408</v>
      </c>
      <c r="D22" s="11"/>
      <c r="E22" s="325">
        <f>F41</f>
        <v>14036.15</v>
      </c>
      <c r="F22" s="11"/>
      <c r="G22" s="6"/>
      <c r="H22" s="6"/>
      <c r="I22" s="6"/>
      <c r="J22" s="6"/>
      <c r="K22" s="6"/>
      <c r="L22" s="6"/>
      <c r="M22" s="6"/>
      <c r="N22" s="6"/>
      <c r="O22" s="6"/>
      <c r="P22" s="6"/>
      <c r="Q22" s="6"/>
      <c r="R22" s="6"/>
      <c r="S22" s="6"/>
      <c r="T22" s="6"/>
      <c r="U22" s="6"/>
      <c r="V22" s="6"/>
      <c r="W22" s="6"/>
      <c r="X22" s="6"/>
      <c r="Y22" s="6"/>
      <c r="Z22" s="6"/>
    </row>
    <row r="23" ht="37.5" customHeight="1">
      <c r="A23" s="6"/>
      <c r="B23" s="6"/>
      <c r="C23" s="168" t="s">
        <v>491</v>
      </c>
      <c r="D23" s="11"/>
      <c r="E23" s="325">
        <f>SUM(F54,F61,F68,F75,F81)</f>
        <v>0</v>
      </c>
      <c r="F23" s="11"/>
      <c r="G23" s="6"/>
      <c r="H23" s="6"/>
      <c r="I23" s="6"/>
      <c r="J23" s="6"/>
      <c r="K23" s="6"/>
      <c r="L23" s="6"/>
      <c r="M23" s="6"/>
      <c r="N23" s="6"/>
      <c r="O23" s="6"/>
      <c r="P23" s="6"/>
      <c r="Q23" s="6"/>
      <c r="R23" s="6"/>
      <c r="S23" s="6"/>
      <c r="T23" s="6"/>
      <c r="U23" s="6"/>
      <c r="V23" s="6"/>
      <c r="W23" s="6"/>
      <c r="X23" s="6"/>
      <c r="Y23" s="6"/>
      <c r="Z23" s="6"/>
    </row>
    <row r="24" ht="37.5" customHeight="1">
      <c r="A24" s="6"/>
      <c r="B24" s="6"/>
      <c r="C24" s="168" t="s">
        <v>27</v>
      </c>
      <c r="D24" s="11"/>
      <c r="E24" s="325">
        <f>F88</f>
        <v>0</v>
      </c>
      <c r="F24" s="11"/>
      <c r="G24" s="6"/>
      <c r="H24" s="6"/>
      <c r="I24" s="6"/>
      <c r="J24" s="6"/>
      <c r="K24" s="6"/>
      <c r="L24" s="6"/>
      <c r="M24" s="6"/>
      <c r="N24" s="6"/>
      <c r="O24" s="6"/>
      <c r="P24" s="6"/>
      <c r="Q24" s="6"/>
      <c r="R24" s="6"/>
      <c r="S24" s="6"/>
      <c r="T24" s="6"/>
      <c r="U24" s="6"/>
      <c r="V24" s="6"/>
      <c r="W24" s="6"/>
      <c r="X24" s="6"/>
      <c r="Y24" s="6"/>
      <c r="Z24" s="6"/>
    </row>
    <row r="25" ht="37.5" customHeight="1">
      <c r="A25" s="6"/>
      <c r="B25" s="6"/>
      <c r="C25" s="323"/>
      <c r="D25" s="314"/>
      <c r="E25" s="314"/>
      <c r="F25" s="324"/>
      <c r="G25" s="6"/>
      <c r="H25" s="6"/>
      <c r="I25" s="6"/>
      <c r="J25" s="6"/>
      <c r="K25" s="6"/>
      <c r="L25" s="6"/>
      <c r="M25" s="6"/>
      <c r="N25" s="6"/>
      <c r="O25" s="6"/>
      <c r="P25" s="6"/>
      <c r="Q25" s="6"/>
      <c r="R25" s="6"/>
      <c r="S25" s="6"/>
      <c r="T25" s="6"/>
      <c r="U25" s="6"/>
      <c r="V25" s="6"/>
      <c r="W25" s="6"/>
      <c r="X25" s="6"/>
      <c r="Y25" s="6"/>
      <c r="Z25" s="6"/>
    </row>
    <row r="26" ht="37.5" customHeight="1">
      <c r="A26" s="6"/>
      <c r="B26" s="6"/>
      <c r="C26" s="173" t="s">
        <v>410</v>
      </c>
      <c r="D26" s="34"/>
      <c r="E26" s="34"/>
      <c r="F26" s="174">
        <f>SUM(E21:E24)*DATA!C23</f>
        <v>16141.5725</v>
      </c>
      <c r="G26" s="6"/>
      <c r="H26" s="6"/>
      <c r="I26" s="6"/>
      <c r="J26" s="6"/>
      <c r="K26" s="6"/>
      <c r="L26" s="6"/>
      <c r="M26" s="6"/>
      <c r="N26" s="6"/>
      <c r="O26" s="6"/>
      <c r="P26" s="6"/>
      <c r="Q26" s="6"/>
      <c r="R26" s="6"/>
      <c r="S26" s="6"/>
      <c r="T26" s="6"/>
      <c r="U26" s="6"/>
      <c r="V26" s="6"/>
      <c r="W26" s="6"/>
      <c r="X26" s="6"/>
      <c r="Y26" s="6"/>
      <c r="Z26" s="6"/>
    </row>
    <row r="27" ht="75.0" customHeight="1">
      <c r="A27" s="6"/>
      <c r="B27" s="6"/>
      <c r="C27" s="326" t="s">
        <v>411</v>
      </c>
      <c r="D27" s="327"/>
      <c r="E27" s="327"/>
      <c r="F27" s="327"/>
      <c r="G27" s="6"/>
      <c r="H27" s="6"/>
      <c r="I27" s="6"/>
      <c r="J27" s="6"/>
      <c r="K27" s="6"/>
      <c r="L27" s="6"/>
      <c r="M27" s="6"/>
      <c r="N27" s="6"/>
      <c r="O27" s="6"/>
      <c r="P27" s="6"/>
      <c r="Q27" s="6"/>
      <c r="R27" s="6"/>
      <c r="S27" s="6"/>
      <c r="T27" s="6"/>
      <c r="U27" s="6"/>
      <c r="V27" s="6"/>
      <c r="W27" s="6"/>
      <c r="X27" s="6"/>
      <c r="Y27" s="6"/>
      <c r="Z27" s="6"/>
    </row>
    <row r="28" ht="3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37.5" customHeight="1">
      <c r="A29" s="6"/>
      <c r="B29" s="179" t="s">
        <v>333</v>
      </c>
      <c r="H29" s="6"/>
      <c r="I29" s="6"/>
      <c r="J29" s="6"/>
      <c r="K29" s="6"/>
      <c r="L29" s="6"/>
      <c r="M29" s="6"/>
      <c r="N29" s="6"/>
      <c r="O29" s="6"/>
      <c r="P29" s="6"/>
      <c r="Q29" s="6"/>
      <c r="R29" s="6"/>
      <c r="S29" s="6"/>
      <c r="T29" s="6"/>
      <c r="U29" s="6"/>
      <c r="V29" s="6"/>
      <c r="W29" s="6"/>
      <c r="X29" s="6"/>
      <c r="Y29" s="6"/>
      <c r="Z29" s="6"/>
    </row>
    <row r="30" ht="75.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75.0" customHeight="1">
      <c r="A31" s="6"/>
      <c r="B31" s="328" t="s">
        <v>492</v>
      </c>
      <c r="E31" s="6"/>
      <c r="F31" s="329"/>
      <c r="G31" s="6"/>
      <c r="H31" s="6"/>
      <c r="I31" s="6"/>
      <c r="J31" s="6"/>
      <c r="K31" s="6"/>
      <c r="L31" s="6"/>
      <c r="M31" s="6"/>
      <c r="N31" s="6"/>
      <c r="O31" s="6"/>
      <c r="P31" s="6"/>
      <c r="Q31" s="6"/>
      <c r="R31" s="6"/>
      <c r="S31" s="6"/>
      <c r="T31" s="6"/>
      <c r="U31" s="6"/>
      <c r="V31" s="6"/>
      <c r="W31" s="6"/>
      <c r="X31" s="6"/>
      <c r="Y31" s="6"/>
      <c r="Z31" s="6"/>
    </row>
    <row r="32" ht="37.5" customHeight="1">
      <c r="A32" s="6"/>
      <c r="B32" s="330"/>
      <c r="C32" s="330"/>
      <c r="D32" s="330"/>
      <c r="E32" s="330"/>
      <c r="F32" s="331"/>
      <c r="G32" s="332"/>
      <c r="H32" s="6"/>
      <c r="I32" s="6"/>
      <c r="J32" s="6"/>
      <c r="K32" s="6"/>
      <c r="L32" s="6"/>
      <c r="M32" s="6"/>
      <c r="N32" s="6"/>
      <c r="O32" s="6"/>
      <c r="P32" s="6"/>
      <c r="Q32" s="6"/>
      <c r="R32" s="6"/>
      <c r="S32" s="6"/>
      <c r="T32" s="6"/>
      <c r="U32" s="6"/>
      <c r="V32" s="6"/>
      <c r="W32" s="6"/>
      <c r="X32" s="6"/>
      <c r="Y32" s="6"/>
      <c r="Z32" s="6"/>
    </row>
    <row r="33" ht="37.5" customHeight="1">
      <c r="A33" s="6"/>
      <c r="B33" s="330"/>
      <c r="C33" s="333" t="s">
        <v>493</v>
      </c>
      <c r="D33" s="257"/>
      <c r="E33" s="334"/>
      <c r="F33" s="335">
        <f>SUM(E34:E37)</f>
        <v>0</v>
      </c>
      <c r="G33" s="332"/>
      <c r="H33" s="6"/>
      <c r="I33" s="6"/>
      <c r="J33" s="6"/>
      <c r="K33" s="6"/>
      <c r="L33" s="6"/>
      <c r="M33" s="6"/>
      <c r="N33" s="6"/>
      <c r="O33" s="6"/>
      <c r="P33" s="6"/>
      <c r="Q33" s="6"/>
      <c r="R33" s="6"/>
      <c r="S33" s="6"/>
      <c r="T33" s="6"/>
      <c r="U33" s="6"/>
      <c r="V33" s="6"/>
      <c r="W33" s="6"/>
      <c r="X33" s="6"/>
      <c r="Y33" s="6"/>
      <c r="Z33" s="6"/>
    </row>
    <row r="34" ht="37.5" customHeight="1">
      <c r="A34" s="6"/>
      <c r="B34" s="334"/>
      <c r="C34" s="336" t="s">
        <v>412</v>
      </c>
      <c r="D34" s="337"/>
      <c r="E34" s="338">
        <v>0.0</v>
      </c>
      <c r="F34" s="337"/>
      <c r="G34" s="332"/>
      <c r="H34" s="6"/>
      <c r="I34" s="6"/>
      <c r="J34" s="6"/>
      <c r="K34" s="6"/>
      <c r="L34" s="6"/>
      <c r="M34" s="6"/>
      <c r="N34" s="6"/>
      <c r="O34" s="6"/>
      <c r="P34" s="6"/>
      <c r="Q34" s="6"/>
      <c r="R34" s="6"/>
      <c r="S34" s="6"/>
      <c r="T34" s="6"/>
      <c r="U34" s="6"/>
      <c r="V34" s="6"/>
      <c r="W34" s="6"/>
      <c r="X34" s="6"/>
      <c r="Y34" s="6"/>
      <c r="Z34" s="6"/>
    </row>
    <row r="35" ht="37.5" customHeight="1">
      <c r="A35" s="6"/>
      <c r="B35" s="334"/>
      <c r="C35" s="336" t="s">
        <v>413</v>
      </c>
      <c r="D35" s="337"/>
      <c r="E35" s="338">
        <v>0.0</v>
      </c>
      <c r="F35" s="337"/>
      <c r="G35" s="332"/>
      <c r="H35" s="6"/>
      <c r="I35" s="6"/>
      <c r="J35" s="6"/>
      <c r="K35" s="6"/>
      <c r="L35" s="6"/>
      <c r="M35" s="6"/>
      <c r="N35" s="6"/>
      <c r="O35" s="6"/>
      <c r="P35" s="6"/>
      <c r="Q35" s="6"/>
      <c r="R35" s="6"/>
      <c r="S35" s="6"/>
      <c r="T35" s="6"/>
      <c r="U35" s="6"/>
      <c r="V35" s="6"/>
      <c r="W35" s="6"/>
      <c r="X35" s="6"/>
      <c r="Y35" s="6"/>
      <c r="Z35" s="6"/>
    </row>
    <row r="36" ht="37.5" customHeight="1">
      <c r="A36" s="6"/>
      <c r="B36" s="334"/>
      <c r="C36" s="336" t="s">
        <v>414</v>
      </c>
      <c r="D36" s="337"/>
      <c r="E36" s="338">
        <v>0.0</v>
      </c>
      <c r="F36" s="337"/>
      <c r="G36" s="332"/>
      <c r="H36" s="6"/>
      <c r="I36" s="6"/>
      <c r="J36" s="6"/>
      <c r="K36" s="6"/>
      <c r="L36" s="6"/>
      <c r="M36" s="6"/>
      <c r="N36" s="6"/>
      <c r="O36" s="6"/>
      <c r="P36" s="6"/>
      <c r="Q36" s="6"/>
      <c r="R36" s="6"/>
      <c r="S36" s="6"/>
      <c r="T36" s="6"/>
      <c r="U36" s="6"/>
      <c r="V36" s="6"/>
      <c r="W36" s="6"/>
      <c r="X36" s="6"/>
      <c r="Y36" s="6"/>
      <c r="Z36" s="6"/>
    </row>
    <row r="37" ht="37.5" customHeight="1">
      <c r="A37" s="6"/>
      <c r="B37" s="334"/>
      <c r="C37" s="336" t="s">
        <v>494</v>
      </c>
      <c r="D37" s="337"/>
      <c r="E37" s="338">
        <v>0.0</v>
      </c>
      <c r="F37" s="337"/>
      <c r="G37" s="332"/>
      <c r="H37" s="6"/>
      <c r="I37" s="6"/>
      <c r="J37" s="6"/>
      <c r="K37" s="6"/>
      <c r="L37" s="6"/>
      <c r="M37" s="6"/>
      <c r="N37" s="6"/>
      <c r="O37" s="6"/>
      <c r="P37" s="6"/>
      <c r="Q37" s="6"/>
      <c r="R37" s="6"/>
      <c r="S37" s="6"/>
      <c r="T37" s="6"/>
      <c r="U37" s="6"/>
      <c r="V37" s="6"/>
      <c r="W37" s="6"/>
      <c r="X37" s="6"/>
      <c r="Y37" s="6"/>
      <c r="Z37" s="6"/>
    </row>
    <row r="38" ht="37.5" customHeight="1">
      <c r="A38" s="6"/>
      <c r="B38" s="334"/>
      <c r="C38" s="334"/>
      <c r="D38" s="334"/>
      <c r="E38" s="339"/>
      <c r="F38" s="330"/>
      <c r="G38" s="332"/>
      <c r="H38" s="6"/>
      <c r="I38" s="6"/>
      <c r="J38" s="6"/>
      <c r="K38" s="6"/>
      <c r="L38" s="6"/>
      <c r="M38" s="6"/>
      <c r="N38" s="6"/>
      <c r="O38" s="6"/>
      <c r="P38" s="6"/>
      <c r="Q38" s="6"/>
      <c r="R38" s="6"/>
      <c r="S38" s="6"/>
      <c r="T38" s="6"/>
      <c r="U38" s="6"/>
      <c r="V38" s="6"/>
      <c r="W38" s="6"/>
      <c r="X38" s="6"/>
      <c r="Y38" s="6"/>
      <c r="Z38" s="6"/>
    </row>
    <row r="39" ht="37.5" customHeight="1">
      <c r="A39" s="6"/>
      <c r="B39" s="11"/>
      <c r="C39" s="11"/>
      <c r="D39" s="11"/>
      <c r="E39" s="11"/>
      <c r="F39" s="340"/>
      <c r="G39" s="6"/>
      <c r="H39" s="6"/>
      <c r="I39" s="6"/>
      <c r="J39" s="6"/>
      <c r="K39" s="6"/>
      <c r="L39" s="6"/>
      <c r="M39" s="6"/>
      <c r="N39" s="6"/>
      <c r="O39" s="6"/>
      <c r="P39" s="6"/>
      <c r="Q39" s="6"/>
      <c r="R39" s="6"/>
      <c r="S39" s="6"/>
      <c r="T39" s="6"/>
      <c r="U39" s="6"/>
      <c r="V39" s="6"/>
      <c r="W39" s="6"/>
      <c r="X39" s="6"/>
      <c r="Y39" s="6"/>
      <c r="Z39" s="6"/>
    </row>
    <row r="40" ht="37.5" customHeight="1">
      <c r="A40" s="6"/>
      <c r="B40" s="341"/>
      <c r="C40" s="341"/>
      <c r="D40" s="341"/>
      <c r="E40" s="341"/>
      <c r="F40" s="342"/>
      <c r="G40" s="343"/>
      <c r="H40" s="6"/>
      <c r="I40" s="6"/>
      <c r="J40" s="6"/>
      <c r="K40" s="6"/>
      <c r="L40" s="6"/>
      <c r="M40" s="6"/>
      <c r="N40" s="6"/>
      <c r="O40" s="6"/>
      <c r="P40" s="6"/>
      <c r="Q40" s="6"/>
      <c r="R40" s="6"/>
      <c r="S40" s="6"/>
      <c r="T40" s="6"/>
      <c r="U40" s="6"/>
      <c r="V40" s="6"/>
      <c r="W40" s="6"/>
      <c r="X40" s="6"/>
      <c r="Y40" s="6"/>
      <c r="Z40" s="6"/>
    </row>
    <row r="41" ht="37.5" customHeight="1">
      <c r="A41" s="6"/>
      <c r="B41" s="341"/>
      <c r="C41" s="344" t="s">
        <v>53</v>
      </c>
      <c r="D41" s="257"/>
      <c r="E41" s="345"/>
      <c r="F41" s="346">
        <f>SUM(E42:E49)</f>
        <v>14036.15</v>
      </c>
      <c r="G41" s="343"/>
      <c r="H41" s="6"/>
      <c r="I41" s="6"/>
      <c r="J41" s="6"/>
      <c r="K41" s="6"/>
      <c r="L41" s="6"/>
      <c r="M41" s="6"/>
      <c r="N41" s="6"/>
      <c r="O41" s="6"/>
      <c r="P41" s="6"/>
      <c r="Q41" s="6"/>
      <c r="R41" s="6"/>
      <c r="S41" s="6"/>
      <c r="T41" s="6"/>
      <c r="U41" s="6"/>
      <c r="V41" s="6"/>
      <c r="W41" s="6"/>
      <c r="X41" s="6"/>
      <c r="Y41" s="6"/>
      <c r="Z41" s="6"/>
    </row>
    <row r="42" ht="37.5" customHeight="1">
      <c r="A42" s="6"/>
      <c r="B42" s="345"/>
      <c r="C42" s="347" t="s">
        <v>417</v>
      </c>
      <c r="D42" s="345"/>
      <c r="E42" s="348">
        <f>SUM(F54,F61,F68,F75,F81,F88)*0.05</f>
        <v>0</v>
      </c>
      <c r="F42" s="341"/>
      <c r="G42" s="343"/>
      <c r="H42" s="6"/>
      <c r="I42" s="6"/>
      <c r="J42" s="6"/>
      <c r="K42" s="6"/>
      <c r="L42" s="6"/>
      <c r="M42" s="6"/>
      <c r="N42" s="6"/>
      <c r="O42" s="6"/>
      <c r="P42" s="6"/>
      <c r="Q42" s="6"/>
      <c r="R42" s="6"/>
      <c r="S42" s="6"/>
      <c r="T42" s="6"/>
      <c r="U42" s="6"/>
      <c r="V42" s="6"/>
      <c r="W42" s="6"/>
      <c r="X42" s="6"/>
      <c r="Y42" s="6"/>
      <c r="Z42" s="6"/>
    </row>
    <row r="43" ht="37.5" customHeight="1">
      <c r="A43" s="6"/>
      <c r="B43" s="345"/>
      <c r="C43" s="347" t="s">
        <v>495</v>
      </c>
      <c r="D43" s="345"/>
      <c r="E43" s="349">
        <v>0.0</v>
      </c>
      <c r="F43" s="341"/>
      <c r="G43" s="343"/>
      <c r="H43" s="6"/>
      <c r="I43" s="6"/>
      <c r="J43" s="6"/>
      <c r="K43" s="6"/>
      <c r="L43" s="6"/>
      <c r="M43" s="6"/>
      <c r="N43" s="6"/>
      <c r="O43" s="6"/>
      <c r="P43" s="6"/>
      <c r="Q43" s="6"/>
      <c r="R43" s="6"/>
      <c r="S43" s="6"/>
      <c r="T43" s="6"/>
      <c r="U43" s="6"/>
      <c r="V43" s="6"/>
      <c r="W43" s="6"/>
      <c r="X43" s="6"/>
      <c r="Y43" s="6"/>
      <c r="Z43" s="6"/>
    </row>
    <row r="44" ht="37.5" customHeight="1">
      <c r="A44" s="6"/>
      <c r="B44" s="345"/>
      <c r="C44" s="347" t="s">
        <v>419</v>
      </c>
      <c r="D44" s="345"/>
      <c r="E44" s="348">
        <v>75.0</v>
      </c>
      <c r="F44" s="341" t="s">
        <v>496</v>
      </c>
      <c r="G44" s="343"/>
      <c r="H44" s="6"/>
      <c r="I44" s="6"/>
      <c r="J44" s="6"/>
      <c r="K44" s="6"/>
      <c r="L44" s="6"/>
      <c r="M44" s="6"/>
      <c r="N44" s="6"/>
      <c r="O44" s="6"/>
      <c r="P44" s="6"/>
      <c r="Q44" s="6"/>
      <c r="R44" s="6"/>
      <c r="S44" s="6"/>
      <c r="T44" s="6"/>
      <c r="U44" s="6"/>
      <c r="V44" s="6"/>
      <c r="W44" s="6"/>
      <c r="X44" s="6"/>
      <c r="Y44" s="6"/>
      <c r="Z44" s="6"/>
    </row>
    <row r="45" ht="37.5" customHeight="1">
      <c r="A45" s="6"/>
      <c r="B45" s="345"/>
      <c r="C45" s="347" t="s">
        <v>420</v>
      </c>
      <c r="D45" s="345"/>
      <c r="E45" s="348">
        <f>SUM(F54,F61,F68,F75,F81,F88)*0.00635</f>
        <v>0</v>
      </c>
      <c r="F45" s="341"/>
      <c r="G45" s="343"/>
      <c r="H45" s="6"/>
      <c r="I45" s="6"/>
      <c r="J45" s="6"/>
      <c r="K45" s="6"/>
      <c r="L45" s="6"/>
      <c r="M45" s="6"/>
      <c r="N45" s="6"/>
      <c r="O45" s="6"/>
      <c r="P45" s="6"/>
      <c r="Q45" s="6"/>
      <c r="R45" s="6"/>
      <c r="S45" s="6"/>
      <c r="T45" s="6"/>
      <c r="U45" s="6"/>
      <c r="V45" s="6"/>
      <c r="W45" s="6"/>
      <c r="X45" s="6"/>
      <c r="Y45" s="6"/>
      <c r="Z45" s="6"/>
    </row>
    <row r="46" ht="37.5" customHeight="1">
      <c r="A46" s="6"/>
      <c r="B46" s="345"/>
      <c r="C46" s="347" t="s">
        <v>421</v>
      </c>
      <c r="D46" s="345"/>
      <c r="E46" s="348">
        <v>300.0</v>
      </c>
      <c r="F46" s="341"/>
      <c r="G46" s="343"/>
      <c r="H46" s="6"/>
      <c r="I46" s="6"/>
      <c r="J46" s="6"/>
      <c r="K46" s="6"/>
      <c r="L46" s="6"/>
      <c r="M46" s="6"/>
      <c r="N46" s="6"/>
      <c r="O46" s="6"/>
      <c r="P46" s="6"/>
      <c r="Q46" s="6"/>
      <c r="R46" s="6"/>
      <c r="S46" s="6"/>
      <c r="T46" s="6"/>
      <c r="U46" s="6"/>
      <c r="V46" s="6"/>
      <c r="W46" s="6"/>
      <c r="X46" s="6"/>
      <c r="Y46" s="6"/>
      <c r="Z46" s="6"/>
    </row>
    <row r="47" ht="37.5" customHeight="1">
      <c r="A47" s="6"/>
      <c r="B47" s="345"/>
      <c r="C47" s="347" t="s">
        <v>497</v>
      </c>
      <c r="D47" s="345"/>
      <c r="E47" s="348">
        <f>(DATA!C27/100)*5.65</f>
        <v>2661.15</v>
      </c>
      <c r="F47" s="341"/>
      <c r="G47" s="343"/>
      <c r="H47" s="6"/>
      <c r="I47" s="6"/>
      <c r="J47" s="6"/>
      <c r="K47" s="6"/>
      <c r="L47" s="6"/>
      <c r="M47" s="6"/>
      <c r="N47" s="6"/>
      <c r="O47" s="6"/>
      <c r="P47" s="6"/>
      <c r="Q47" s="6"/>
      <c r="R47" s="6"/>
      <c r="S47" s="6"/>
      <c r="T47" s="6"/>
      <c r="U47" s="6"/>
      <c r="V47" s="6"/>
      <c r="W47" s="6"/>
      <c r="X47" s="6"/>
      <c r="Y47" s="6"/>
      <c r="Z47" s="6"/>
    </row>
    <row r="48" ht="37.5" customHeight="1">
      <c r="A48" s="6"/>
      <c r="B48" s="345"/>
      <c r="C48" s="347" t="s">
        <v>422</v>
      </c>
      <c r="D48" s="345"/>
      <c r="E48" s="348">
        <v>2000.0</v>
      </c>
      <c r="F48" s="341"/>
      <c r="G48" s="343"/>
      <c r="H48" s="6"/>
      <c r="I48" s="6"/>
      <c r="J48" s="6"/>
      <c r="K48" s="6"/>
      <c r="L48" s="6"/>
      <c r="M48" s="6"/>
      <c r="N48" s="6"/>
      <c r="O48" s="6"/>
      <c r="P48" s="6"/>
      <c r="Q48" s="6"/>
      <c r="R48" s="6"/>
      <c r="S48" s="6"/>
      <c r="T48" s="6"/>
      <c r="U48" s="6"/>
      <c r="V48" s="6"/>
      <c r="W48" s="6"/>
      <c r="X48" s="6"/>
      <c r="Y48" s="6"/>
      <c r="Z48" s="6"/>
    </row>
    <row r="49" ht="37.5" customHeight="1">
      <c r="A49" s="6"/>
      <c r="B49" s="345"/>
      <c r="C49" s="347" t="s">
        <v>423</v>
      </c>
      <c r="D49" s="345"/>
      <c r="E49" s="349">
        <v>9000.0</v>
      </c>
      <c r="F49" s="341"/>
      <c r="G49" s="343"/>
      <c r="H49" s="6"/>
      <c r="I49" s="6"/>
      <c r="J49" s="6"/>
      <c r="K49" s="6"/>
      <c r="L49" s="6"/>
      <c r="M49" s="6"/>
      <c r="N49" s="6"/>
      <c r="O49" s="6"/>
      <c r="P49" s="6"/>
      <c r="Q49" s="6"/>
      <c r="R49" s="6"/>
      <c r="S49" s="6"/>
      <c r="T49" s="6"/>
      <c r="U49" s="6"/>
      <c r="V49" s="6"/>
      <c r="W49" s="6"/>
      <c r="X49" s="6"/>
      <c r="Y49" s="6"/>
      <c r="Z49" s="6"/>
    </row>
    <row r="50" ht="150.0" customHeight="1">
      <c r="A50" s="8"/>
      <c r="B50" s="350"/>
      <c r="C50" s="351" t="s">
        <v>498</v>
      </c>
      <c r="D50" s="289"/>
      <c r="E50" s="289"/>
      <c r="F50" s="257"/>
      <c r="G50" s="350"/>
      <c r="H50" s="8"/>
      <c r="I50" s="8"/>
      <c r="J50" s="8"/>
      <c r="K50" s="8"/>
      <c r="L50" s="8"/>
      <c r="M50" s="8"/>
      <c r="N50" s="8"/>
      <c r="O50" s="8"/>
      <c r="P50" s="8"/>
      <c r="Q50" s="8"/>
      <c r="R50" s="8"/>
      <c r="S50" s="8"/>
      <c r="T50" s="8"/>
      <c r="U50" s="8"/>
      <c r="V50" s="8"/>
      <c r="W50" s="8"/>
      <c r="X50" s="8"/>
      <c r="Y50" s="8"/>
      <c r="Z50" s="8"/>
    </row>
    <row r="51" ht="300.0" customHeight="1">
      <c r="A51" s="6"/>
      <c r="B51" s="328"/>
      <c r="C51" s="328"/>
      <c r="D51" s="328"/>
      <c r="E51" s="6"/>
      <c r="F51" s="329"/>
      <c r="G51" s="6"/>
      <c r="H51" s="6"/>
      <c r="I51" s="6"/>
      <c r="J51" s="6"/>
      <c r="K51" s="6"/>
      <c r="L51" s="6"/>
      <c r="M51" s="6"/>
      <c r="N51" s="6"/>
      <c r="O51" s="6"/>
      <c r="P51" s="6"/>
      <c r="Q51" s="6"/>
      <c r="R51" s="6"/>
      <c r="S51" s="6"/>
      <c r="T51" s="6"/>
      <c r="U51" s="6"/>
      <c r="V51" s="6"/>
      <c r="W51" s="6"/>
      <c r="X51" s="6"/>
      <c r="Y51" s="6"/>
      <c r="Z51" s="6"/>
    </row>
    <row r="52" ht="75.0" customHeight="1">
      <c r="A52" s="6"/>
      <c r="B52" s="328" t="s">
        <v>499</v>
      </c>
      <c r="E52" s="6"/>
      <c r="F52" s="329"/>
      <c r="G52" s="6"/>
      <c r="H52" s="6"/>
      <c r="I52" s="6"/>
      <c r="J52" s="6"/>
      <c r="K52" s="6"/>
      <c r="L52" s="6"/>
      <c r="M52" s="6"/>
      <c r="N52" s="6"/>
      <c r="O52" s="6"/>
      <c r="P52" s="6"/>
      <c r="Q52" s="6"/>
      <c r="R52" s="6"/>
      <c r="S52" s="6"/>
      <c r="T52" s="6"/>
      <c r="U52" s="6"/>
      <c r="V52" s="6"/>
      <c r="W52" s="6"/>
      <c r="X52" s="6"/>
      <c r="Y52" s="6"/>
      <c r="Z52" s="6"/>
    </row>
    <row r="53" ht="37.5" customHeight="1">
      <c r="A53" s="6"/>
      <c r="B53" s="332"/>
      <c r="C53" s="332"/>
      <c r="D53" s="332"/>
      <c r="E53" s="332"/>
      <c r="F53" s="352"/>
      <c r="G53" s="332"/>
      <c r="H53" s="6"/>
      <c r="I53" s="6"/>
      <c r="J53" s="6"/>
      <c r="K53" s="6"/>
      <c r="L53" s="6"/>
      <c r="M53" s="6"/>
      <c r="N53" s="6"/>
      <c r="O53" s="6"/>
      <c r="P53" s="6"/>
      <c r="Q53" s="6"/>
      <c r="R53" s="6"/>
      <c r="S53" s="6"/>
      <c r="T53" s="6"/>
      <c r="U53" s="6"/>
      <c r="V53" s="6"/>
      <c r="W53" s="6"/>
      <c r="X53" s="6"/>
      <c r="Y53" s="6"/>
      <c r="Z53" s="6"/>
    </row>
    <row r="54" ht="37.5" customHeight="1">
      <c r="A54" s="6"/>
      <c r="B54" s="332"/>
      <c r="C54" s="333" t="s">
        <v>500</v>
      </c>
      <c r="D54" s="257"/>
      <c r="E54" s="334"/>
      <c r="F54" s="335">
        <f>SUM(E55:E58)</f>
        <v>0</v>
      </c>
      <c r="G54" s="353"/>
      <c r="H54" s="8"/>
      <c r="I54" s="6"/>
      <c r="J54" s="6"/>
      <c r="K54" s="6"/>
      <c r="L54" s="6"/>
      <c r="M54" s="6"/>
      <c r="N54" s="6"/>
      <c r="O54" s="6"/>
      <c r="P54" s="6"/>
      <c r="Q54" s="6"/>
      <c r="R54" s="6"/>
      <c r="S54" s="6"/>
      <c r="T54" s="6"/>
      <c r="U54" s="6"/>
      <c r="V54" s="6"/>
      <c r="W54" s="6"/>
      <c r="X54" s="6"/>
      <c r="Y54" s="6"/>
      <c r="Z54" s="6"/>
    </row>
    <row r="55" ht="37.5" customHeight="1">
      <c r="A55" s="6"/>
      <c r="B55" s="353"/>
      <c r="C55" s="354" t="s">
        <v>355</v>
      </c>
      <c r="D55" s="334"/>
      <c r="E55" s="355"/>
      <c r="F55" s="356"/>
      <c r="G55" s="332"/>
      <c r="H55" s="8"/>
      <c r="I55" s="6"/>
      <c r="J55" s="6"/>
      <c r="K55" s="6"/>
      <c r="L55" s="6"/>
      <c r="M55" s="6"/>
      <c r="N55" s="6"/>
      <c r="O55" s="6"/>
      <c r="P55" s="6"/>
      <c r="Q55" s="6"/>
      <c r="R55" s="6"/>
      <c r="S55" s="6"/>
      <c r="T55" s="6"/>
      <c r="U55" s="6"/>
      <c r="V55" s="6"/>
      <c r="W55" s="6"/>
      <c r="X55" s="6"/>
      <c r="Y55" s="6"/>
      <c r="Z55" s="6"/>
    </row>
    <row r="56" ht="37.5" customHeight="1">
      <c r="A56" s="6"/>
      <c r="B56" s="353"/>
      <c r="C56" s="354" t="s">
        <v>356</v>
      </c>
      <c r="D56" s="334"/>
      <c r="E56" s="355"/>
      <c r="F56" s="356"/>
      <c r="G56" s="332"/>
      <c r="H56" s="8"/>
      <c r="I56" s="6"/>
      <c r="J56" s="6"/>
      <c r="K56" s="6"/>
      <c r="L56" s="6"/>
      <c r="M56" s="6"/>
      <c r="N56" s="6"/>
      <c r="O56" s="6"/>
      <c r="P56" s="6"/>
      <c r="Q56" s="6"/>
      <c r="R56" s="6"/>
      <c r="S56" s="6"/>
      <c r="T56" s="6"/>
      <c r="U56" s="6"/>
      <c r="V56" s="6"/>
      <c r="W56" s="6"/>
      <c r="X56" s="6"/>
      <c r="Y56" s="6"/>
      <c r="Z56" s="6"/>
    </row>
    <row r="57" ht="37.5" customHeight="1">
      <c r="A57" s="6"/>
      <c r="B57" s="353"/>
      <c r="C57" s="354" t="s">
        <v>501</v>
      </c>
      <c r="D57" s="334"/>
      <c r="E57" s="355"/>
      <c r="F57" s="356"/>
      <c r="G57" s="332"/>
      <c r="H57" s="8"/>
      <c r="I57" s="6"/>
      <c r="J57" s="6"/>
      <c r="K57" s="6"/>
      <c r="L57" s="6"/>
      <c r="M57" s="6"/>
      <c r="N57" s="6"/>
      <c r="O57" s="6"/>
      <c r="P57" s="6"/>
      <c r="Q57" s="6"/>
      <c r="R57" s="6"/>
      <c r="S57" s="6"/>
      <c r="T57" s="6"/>
      <c r="U57" s="6"/>
      <c r="V57" s="6"/>
      <c r="W57" s="6"/>
      <c r="X57" s="6"/>
      <c r="Y57" s="6"/>
      <c r="Z57" s="6"/>
    </row>
    <row r="58" ht="37.5" customHeight="1">
      <c r="A58" s="6"/>
      <c r="B58" s="353"/>
      <c r="C58" s="354" t="s">
        <v>502</v>
      </c>
      <c r="D58" s="334"/>
      <c r="E58" s="355">
        <f>SUM(E55:E57)*0.2</f>
        <v>0</v>
      </c>
      <c r="F58" s="356"/>
      <c r="G58" s="332"/>
      <c r="H58" s="8"/>
      <c r="I58" s="6"/>
      <c r="J58" s="6"/>
      <c r="K58" s="6"/>
      <c r="L58" s="6"/>
      <c r="M58" s="6"/>
      <c r="N58" s="6"/>
      <c r="O58" s="6"/>
      <c r="P58" s="6"/>
      <c r="Q58" s="6"/>
      <c r="R58" s="6"/>
      <c r="S58" s="6"/>
      <c r="T58" s="6"/>
      <c r="U58" s="6"/>
      <c r="V58" s="6"/>
      <c r="W58" s="6"/>
      <c r="X58" s="6"/>
      <c r="Y58" s="6"/>
      <c r="Z58" s="6"/>
    </row>
    <row r="59" ht="60.0" customHeight="1">
      <c r="A59" s="6"/>
      <c r="B59" s="353"/>
      <c r="C59" s="357" t="s">
        <v>503</v>
      </c>
      <c r="D59" s="289"/>
      <c r="E59" s="289"/>
      <c r="F59" s="257"/>
      <c r="G59" s="332"/>
      <c r="H59" s="6"/>
      <c r="I59" s="6"/>
      <c r="J59" s="6"/>
      <c r="K59" s="6"/>
      <c r="L59" s="6"/>
      <c r="M59" s="6"/>
      <c r="N59" s="6"/>
      <c r="O59" s="6"/>
      <c r="P59" s="6"/>
      <c r="Q59" s="6"/>
      <c r="R59" s="6"/>
      <c r="S59" s="6"/>
      <c r="T59" s="6"/>
      <c r="U59" s="6"/>
      <c r="V59" s="6"/>
      <c r="W59" s="6"/>
      <c r="X59" s="6"/>
      <c r="Y59" s="6"/>
      <c r="Z59" s="6"/>
    </row>
    <row r="60" ht="37.5" customHeight="1">
      <c r="A60" s="6"/>
      <c r="B60" s="358"/>
      <c r="C60" s="358"/>
      <c r="D60" s="358"/>
      <c r="E60" s="359"/>
      <c r="F60" s="343"/>
      <c r="G60" s="343"/>
      <c r="H60" s="6"/>
      <c r="I60" s="6"/>
      <c r="J60" s="6"/>
      <c r="K60" s="6"/>
      <c r="L60" s="6"/>
      <c r="M60" s="6"/>
      <c r="N60" s="6"/>
      <c r="O60" s="6"/>
      <c r="P60" s="6"/>
      <c r="Q60" s="6"/>
      <c r="R60" s="6"/>
      <c r="S60" s="6"/>
      <c r="T60" s="6"/>
      <c r="U60" s="6"/>
      <c r="V60" s="6"/>
      <c r="W60" s="6"/>
      <c r="X60" s="6"/>
      <c r="Y60" s="6"/>
      <c r="Z60" s="6"/>
    </row>
    <row r="61" ht="37.5" customHeight="1">
      <c r="A61" s="6"/>
      <c r="B61" s="358"/>
      <c r="C61" s="344" t="s">
        <v>504</v>
      </c>
      <c r="D61" s="257"/>
      <c r="E61" s="360"/>
      <c r="F61" s="346">
        <f>SUM(E62:E65)</f>
        <v>0</v>
      </c>
      <c r="G61" s="343"/>
      <c r="H61" s="6"/>
      <c r="I61" s="6"/>
      <c r="J61" s="6"/>
      <c r="K61" s="6"/>
      <c r="L61" s="6"/>
      <c r="M61" s="6"/>
      <c r="N61" s="6"/>
      <c r="O61" s="6"/>
      <c r="P61" s="6"/>
      <c r="Q61" s="6"/>
      <c r="R61" s="6"/>
      <c r="S61" s="6"/>
      <c r="T61" s="6"/>
      <c r="U61" s="6"/>
      <c r="V61" s="6"/>
      <c r="W61" s="6"/>
      <c r="X61" s="6"/>
      <c r="Y61" s="6"/>
      <c r="Z61" s="6"/>
    </row>
    <row r="62" ht="37.5" customHeight="1">
      <c r="A62" s="6"/>
      <c r="B62" s="358"/>
      <c r="C62" s="347" t="s">
        <v>359</v>
      </c>
      <c r="D62" s="345"/>
      <c r="E62" s="348"/>
      <c r="F62" s="341"/>
      <c r="G62" s="343"/>
      <c r="H62" s="6"/>
      <c r="I62" s="6"/>
      <c r="J62" s="6"/>
      <c r="K62" s="6"/>
      <c r="L62" s="6"/>
      <c r="M62" s="6"/>
      <c r="N62" s="6"/>
      <c r="O62" s="6"/>
      <c r="P62" s="6"/>
      <c r="Q62" s="6"/>
      <c r="R62" s="6"/>
      <c r="S62" s="6"/>
      <c r="T62" s="6"/>
      <c r="U62" s="6"/>
      <c r="V62" s="6"/>
      <c r="W62" s="6"/>
      <c r="X62" s="6"/>
      <c r="Y62" s="6"/>
      <c r="Z62" s="6"/>
    </row>
    <row r="63" ht="37.5" customHeight="1">
      <c r="A63" s="6"/>
      <c r="B63" s="358"/>
      <c r="C63" s="347" t="s">
        <v>505</v>
      </c>
      <c r="D63" s="345"/>
      <c r="E63" s="348"/>
      <c r="F63" s="341"/>
      <c r="G63" s="343"/>
      <c r="H63" s="6"/>
      <c r="I63" s="6"/>
      <c r="J63" s="6"/>
      <c r="K63" s="6"/>
      <c r="L63" s="6"/>
      <c r="M63" s="6"/>
      <c r="N63" s="6"/>
      <c r="O63" s="6"/>
      <c r="P63" s="6"/>
      <c r="Q63" s="6"/>
      <c r="R63" s="6"/>
      <c r="S63" s="6"/>
      <c r="T63" s="6"/>
      <c r="U63" s="6"/>
      <c r="V63" s="6"/>
      <c r="W63" s="6"/>
      <c r="X63" s="6"/>
      <c r="Y63" s="6"/>
      <c r="Z63" s="6"/>
    </row>
    <row r="64" ht="37.5" customHeight="1">
      <c r="A64" s="6"/>
      <c r="B64" s="358"/>
      <c r="C64" s="347" t="s">
        <v>506</v>
      </c>
      <c r="D64" s="345"/>
      <c r="E64" s="348"/>
      <c r="F64" s="341"/>
      <c r="G64" s="343"/>
      <c r="H64" s="6"/>
      <c r="I64" s="6"/>
      <c r="J64" s="6"/>
      <c r="K64" s="6"/>
      <c r="L64" s="6"/>
      <c r="M64" s="6"/>
      <c r="N64" s="6"/>
      <c r="O64" s="6"/>
      <c r="P64" s="6"/>
      <c r="Q64" s="6"/>
      <c r="R64" s="6"/>
      <c r="S64" s="6"/>
      <c r="T64" s="6"/>
      <c r="U64" s="6"/>
      <c r="V64" s="6"/>
      <c r="W64" s="6"/>
      <c r="X64" s="6"/>
      <c r="Y64" s="6"/>
      <c r="Z64" s="6"/>
    </row>
    <row r="65" ht="37.5" customHeight="1">
      <c r="A65" s="6"/>
      <c r="B65" s="358"/>
      <c r="C65" s="347" t="s">
        <v>502</v>
      </c>
      <c r="D65" s="345"/>
      <c r="E65" s="348">
        <f>SUM(E62:E64)*0.2</f>
        <v>0</v>
      </c>
      <c r="F65" s="341"/>
      <c r="G65" s="343"/>
      <c r="H65" s="6"/>
      <c r="I65" s="6"/>
      <c r="J65" s="6"/>
      <c r="K65" s="6"/>
      <c r="L65" s="6"/>
      <c r="M65" s="6"/>
      <c r="N65" s="6"/>
      <c r="O65" s="6"/>
      <c r="P65" s="6"/>
      <c r="Q65" s="6"/>
      <c r="R65" s="6"/>
      <c r="S65" s="6"/>
      <c r="T65" s="6"/>
      <c r="U65" s="6"/>
      <c r="V65" s="6"/>
      <c r="W65" s="6"/>
      <c r="X65" s="6"/>
      <c r="Y65" s="6"/>
      <c r="Z65" s="6"/>
    </row>
    <row r="66" ht="60.0" customHeight="1">
      <c r="A66" s="6"/>
      <c r="B66" s="358"/>
      <c r="C66" s="361" t="s">
        <v>507</v>
      </c>
      <c r="D66" s="289"/>
      <c r="E66" s="289"/>
      <c r="F66" s="257"/>
      <c r="G66" s="343"/>
      <c r="H66" s="6"/>
      <c r="I66" s="6"/>
      <c r="J66" s="6"/>
      <c r="K66" s="6"/>
      <c r="L66" s="6"/>
      <c r="M66" s="6"/>
      <c r="N66" s="6"/>
      <c r="O66" s="6"/>
      <c r="P66" s="6"/>
      <c r="Q66" s="6"/>
      <c r="R66" s="6"/>
      <c r="S66" s="6"/>
      <c r="T66" s="6"/>
      <c r="U66" s="6"/>
      <c r="V66" s="6"/>
      <c r="W66" s="6"/>
      <c r="X66" s="6"/>
      <c r="Y66" s="6"/>
      <c r="Z66" s="6"/>
    </row>
    <row r="67" ht="37.5" customHeight="1">
      <c r="A67" s="6"/>
      <c r="B67" s="332"/>
      <c r="C67" s="332"/>
      <c r="D67" s="332"/>
      <c r="E67" s="332"/>
      <c r="F67" s="352"/>
      <c r="G67" s="332"/>
      <c r="H67" s="6"/>
      <c r="I67" s="6"/>
      <c r="J67" s="6"/>
      <c r="K67" s="6"/>
      <c r="L67" s="6"/>
      <c r="M67" s="6"/>
      <c r="N67" s="6"/>
      <c r="O67" s="6"/>
      <c r="P67" s="6"/>
      <c r="Q67" s="6"/>
      <c r="R67" s="6"/>
      <c r="S67" s="6"/>
      <c r="T67" s="6"/>
      <c r="U67" s="6"/>
      <c r="V67" s="6"/>
      <c r="W67" s="6"/>
      <c r="X67" s="6"/>
      <c r="Y67" s="6"/>
      <c r="Z67" s="6"/>
    </row>
    <row r="68" ht="37.5" customHeight="1">
      <c r="A68" s="6"/>
      <c r="B68" s="332"/>
      <c r="C68" s="333" t="s">
        <v>508</v>
      </c>
      <c r="D68" s="257"/>
      <c r="E68" s="334"/>
      <c r="F68" s="335">
        <f>SUM(E69:E72)</f>
        <v>0</v>
      </c>
      <c r="G68" s="332"/>
      <c r="H68" s="6"/>
      <c r="I68" s="6"/>
      <c r="J68" s="6"/>
      <c r="K68" s="6"/>
      <c r="L68" s="6"/>
      <c r="M68" s="6"/>
      <c r="N68" s="6"/>
      <c r="O68" s="6"/>
      <c r="P68" s="6"/>
      <c r="Q68" s="6"/>
      <c r="R68" s="6"/>
      <c r="S68" s="6"/>
      <c r="T68" s="6"/>
      <c r="U68" s="6"/>
      <c r="V68" s="6"/>
      <c r="W68" s="6"/>
      <c r="X68" s="6"/>
      <c r="Y68" s="6"/>
      <c r="Z68" s="6"/>
    </row>
    <row r="69" ht="37.5" customHeight="1">
      <c r="A69" s="6"/>
      <c r="B69" s="353"/>
      <c r="C69" s="354" t="s">
        <v>509</v>
      </c>
      <c r="D69" s="334"/>
      <c r="E69" s="355"/>
      <c r="F69" s="330"/>
      <c r="G69" s="332"/>
      <c r="H69" s="6"/>
      <c r="I69" s="6"/>
      <c r="J69" s="6"/>
      <c r="K69" s="6"/>
      <c r="L69" s="6"/>
      <c r="M69" s="6"/>
      <c r="N69" s="6"/>
      <c r="O69" s="6"/>
      <c r="P69" s="6"/>
      <c r="Q69" s="6"/>
      <c r="R69" s="6"/>
      <c r="S69" s="6"/>
      <c r="T69" s="6"/>
      <c r="U69" s="6"/>
      <c r="V69" s="6"/>
      <c r="W69" s="6"/>
      <c r="X69" s="6"/>
      <c r="Y69" s="6"/>
      <c r="Z69" s="6"/>
    </row>
    <row r="70" ht="37.5" customHeight="1">
      <c r="A70" s="6"/>
      <c r="B70" s="353"/>
      <c r="C70" s="354" t="s">
        <v>510</v>
      </c>
      <c r="D70" s="334"/>
      <c r="E70" s="355"/>
      <c r="F70" s="330"/>
      <c r="G70" s="332"/>
      <c r="H70" s="6"/>
      <c r="I70" s="6"/>
      <c r="J70" s="6"/>
      <c r="K70" s="6"/>
      <c r="L70" s="6"/>
      <c r="M70" s="6"/>
      <c r="N70" s="6"/>
      <c r="O70" s="6"/>
      <c r="P70" s="6"/>
      <c r="Q70" s="6"/>
      <c r="R70" s="6"/>
      <c r="S70" s="6"/>
      <c r="T70" s="6"/>
      <c r="U70" s="6"/>
      <c r="V70" s="6"/>
      <c r="W70" s="6"/>
      <c r="X70" s="6"/>
      <c r="Y70" s="6"/>
      <c r="Z70" s="6"/>
    </row>
    <row r="71" ht="37.5" customHeight="1">
      <c r="A71" s="6"/>
      <c r="B71" s="353"/>
      <c r="C71" s="354" t="s">
        <v>511</v>
      </c>
      <c r="D71" s="334"/>
      <c r="E71" s="355"/>
      <c r="F71" s="330"/>
      <c r="G71" s="332"/>
      <c r="H71" s="6"/>
      <c r="I71" s="6"/>
      <c r="J71" s="6"/>
      <c r="K71" s="6"/>
      <c r="L71" s="6"/>
      <c r="M71" s="6"/>
      <c r="N71" s="6"/>
      <c r="O71" s="6"/>
      <c r="P71" s="6"/>
      <c r="Q71" s="6"/>
      <c r="R71" s="6"/>
      <c r="S71" s="6"/>
      <c r="T71" s="6"/>
      <c r="U71" s="6"/>
      <c r="V71" s="6"/>
      <c r="W71" s="6"/>
      <c r="X71" s="6"/>
      <c r="Y71" s="6"/>
      <c r="Z71" s="6"/>
    </row>
    <row r="72" ht="37.5" customHeight="1">
      <c r="A72" s="6"/>
      <c r="B72" s="353"/>
      <c r="C72" s="354" t="s">
        <v>502</v>
      </c>
      <c r="D72" s="334"/>
      <c r="E72" s="355">
        <f>SUM(E69:E71)*0.2</f>
        <v>0</v>
      </c>
      <c r="F72" s="330"/>
      <c r="G72" s="332"/>
      <c r="H72" s="6"/>
      <c r="I72" s="6"/>
      <c r="J72" s="6"/>
      <c r="K72" s="6"/>
      <c r="L72" s="6"/>
      <c r="M72" s="6"/>
      <c r="N72" s="6"/>
      <c r="O72" s="6"/>
      <c r="P72" s="6"/>
      <c r="Q72" s="6"/>
      <c r="R72" s="6"/>
      <c r="S72" s="6"/>
      <c r="T72" s="6"/>
      <c r="U72" s="6"/>
      <c r="V72" s="6"/>
      <c r="W72" s="6"/>
      <c r="X72" s="6"/>
      <c r="Y72" s="6"/>
      <c r="Z72" s="6"/>
    </row>
    <row r="73" ht="60.0" customHeight="1">
      <c r="A73" s="6"/>
      <c r="B73" s="353"/>
      <c r="C73" s="357" t="s">
        <v>512</v>
      </c>
      <c r="D73" s="289"/>
      <c r="E73" s="289"/>
      <c r="F73" s="257"/>
      <c r="G73" s="332"/>
      <c r="H73" s="6"/>
      <c r="I73" s="6"/>
      <c r="J73" s="6"/>
      <c r="K73" s="6"/>
      <c r="L73" s="6"/>
      <c r="M73" s="6"/>
      <c r="N73" s="6"/>
      <c r="O73" s="6"/>
      <c r="P73" s="6"/>
      <c r="Q73" s="6"/>
      <c r="R73" s="6"/>
      <c r="S73" s="6"/>
      <c r="T73" s="6"/>
      <c r="U73" s="6"/>
      <c r="V73" s="6"/>
      <c r="W73" s="6"/>
      <c r="X73" s="6"/>
      <c r="Y73" s="6"/>
      <c r="Z73" s="6"/>
    </row>
    <row r="74" ht="37.5" customHeight="1">
      <c r="A74" s="6"/>
      <c r="B74" s="358"/>
      <c r="C74" s="358"/>
      <c r="D74" s="358"/>
      <c r="E74" s="359"/>
      <c r="F74" s="343"/>
      <c r="G74" s="343"/>
      <c r="H74" s="6"/>
      <c r="I74" s="6"/>
      <c r="J74" s="6"/>
      <c r="K74" s="6"/>
      <c r="L74" s="6"/>
      <c r="M74" s="6"/>
      <c r="N74" s="6"/>
      <c r="O74" s="6"/>
      <c r="P74" s="6"/>
      <c r="Q74" s="6"/>
      <c r="R74" s="6"/>
      <c r="S74" s="6"/>
      <c r="T74" s="6"/>
      <c r="U74" s="6"/>
      <c r="V74" s="6"/>
      <c r="W74" s="6"/>
      <c r="X74" s="6"/>
      <c r="Y74" s="6"/>
      <c r="Z74" s="6"/>
    </row>
    <row r="75" ht="37.5" customHeight="1">
      <c r="A75" s="6"/>
      <c r="B75" s="358"/>
      <c r="C75" s="344" t="s">
        <v>513</v>
      </c>
      <c r="D75" s="257"/>
      <c r="E75" s="360"/>
      <c r="F75" s="346">
        <f>SUM(E76:E78)</f>
        <v>0</v>
      </c>
      <c r="G75" s="343"/>
      <c r="H75" s="6"/>
      <c r="I75" s="6"/>
      <c r="J75" s="6"/>
      <c r="K75" s="6"/>
      <c r="L75" s="6"/>
      <c r="M75" s="6"/>
      <c r="N75" s="6"/>
      <c r="O75" s="6"/>
      <c r="P75" s="6"/>
      <c r="Q75" s="6"/>
      <c r="R75" s="6"/>
      <c r="S75" s="6"/>
      <c r="T75" s="6"/>
      <c r="U75" s="6"/>
      <c r="V75" s="6"/>
      <c r="W75" s="6"/>
      <c r="X75" s="6"/>
      <c r="Y75" s="6"/>
      <c r="Z75" s="6"/>
    </row>
    <row r="76" ht="37.5" customHeight="1">
      <c r="A76" s="6"/>
      <c r="B76" s="358"/>
      <c r="C76" s="347" t="s">
        <v>514</v>
      </c>
      <c r="D76" s="345"/>
      <c r="E76" s="348"/>
      <c r="F76" s="341"/>
      <c r="G76" s="343"/>
      <c r="H76" s="6"/>
      <c r="I76" s="6"/>
      <c r="J76" s="6"/>
      <c r="K76" s="6"/>
      <c r="L76" s="6"/>
      <c r="M76" s="6"/>
      <c r="N76" s="6"/>
      <c r="O76" s="6"/>
      <c r="P76" s="6"/>
      <c r="Q76" s="6"/>
      <c r="R76" s="6"/>
      <c r="S76" s="6"/>
      <c r="T76" s="6"/>
      <c r="U76" s="6"/>
      <c r="V76" s="6"/>
      <c r="W76" s="6"/>
      <c r="X76" s="6"/>
      <c r="Y76" s="6"/>
      <c r="Z76" s="6"/>
    </row>
    <row r="77" ht="37.5" customHeight="1">
      <c r="A77" s="6"/>
      <c r="B77" s="358"/>
      <c r="C77" s="347" t="s">
        <v>364</v>
      </c>
      <c r="D77" s="345"/>
      <c r="E77" s="348"/>
      <c r="F77" s="341"/>
      <c r="G77" s="343"/>
      <c r="H77" s="6"/>
      <c r="I77" s="6"/>
      <c r="J77" s="6"/>
      <c r="K77" s="6"/>
      <c r="L77" s="6"/>
      <c r="M77" s="6"/>
      <c r="N77" s="6"/>
      <c r="O77" s="6"/>
      <c r="P77" s="6"/>
      <c r="Q77" s="6"/>
      <c r="R77" s="6"/>
      <c r="S77" s="6"/>
      <c r="T77" s="6"/>
      <c r="U77" s="6"/>
      <c r="V77" s="6"/>
      <c r="W77" s="6"/>
      <c r="X77" s="6"/>
      <c r="Y77" s="6"/>
      <c r="Z77" s="6"/>
    </row>
    <row r="78" ht="37.5" customHeight="1">
      <c r="A78" s="6"/>
      <c r="B78" s="358"/>
      <c r="C78" s="347" t="s">
        <v>502</v>
      </c>
      <c r="D78" s="345"/>
      <c r="E78" s="348">
        <f>SUM(E76:E77)*0.2</f>
        <v>0</v>
      </c>
      <c r="F78" s="341"/>
      <c r="G78" s="343"/>
      <c r="H78" s="6"/>
      <c r="I78" s="6"/>
      <c r="J78" s="6"/>
      <c r="K78" s="6"/>
      <c r="L78" s="6"/>
      <c r="M78" s="6"/>
      <c r="N78" s="6"/>
      <c r="O78" s="6"/>
      <c r="P78" s="6"/>
      <c r="Q78" s="6"/>
      <c r="R78" s="6"/>
      <c r="S78" s="6"/>
      <c r="T78" s="6"/>
      <c r="U78" s="6"/>
      <c r="V78" s="6"/>
      <c r="W78" s="6"/>
      <c r="X78" s="6"/>
      <c r="Y78" s="6"/>
      <c r="Z78" s="6"/>
    </row>
    <row r="79" ht="60.0" customHeight="1">
      <c r="A79" s="6"/>
      <c r="B79" s="358"/>
      <c r="C79" s="361" t="s">
        <v>515</v>
      </c>
      <c r="D79" s="289"/>
      <c r="E79" s="289"/>
      <c r="F79" s="257"/>
      <c r="G79" s="343"/>
      <c r="H79" s="6"/>
      <c r="I79" s="6"/>
      <c r="J79" s="6"/>
      <c r="K79" s="6"/>
      <c r="L79" s="6"/>
      <c r="M79" s="6"/>
      <c r="N79" s="6"/>
      <c r="O79" s="6"/>
      <c r="P79" s="6"/>
      <c r="Q79" s="6"/>
      <c r="R79" s="6"/>
      <c r="S79" s="6"/>
      <c r="T79" s="6"/>
      <c r="U79" s="6"/>
      <c r="V79" s="6"/>
      <c r="W79" s="6"/>
      <c r="X79" s="6"/>
      <c r="Y79" s="6"/>
      <c r="Z79" s="6"/>
    </row>
    <row r="80" ht="37.5" customHeight="1">
      <c r="A80" s="6"/>
      <c r="B80" s="332"/>
      <c r="C80" s="332"/>
      <c r="D80" s="332"/>
      <c r="E80" s="332"/>
      <c r="F80" s="352"/>
      <c r="G80" s="332"/>
      <c r="H80" s="6"/>
      <c r="I80" s="6"/>
      <c r="J80" s="6"/>
      <c r="K80" s="6"/>
      <c r="L80" s="6"/>
      <c r="M80" s="6"/>
      <c r="N80" s="6"/>
      <c r="O80" s="6"/>
      <c r="P80" s="6"/>
      <c r="Q80" s="6"/>
      <c r="R80" s="6"/>
      <c r="S80" s="6"/>
      <c r="T80" s="6"/>
      <c r="U80" s="6"/>
      <c r="V80" s="6"/>
      <c r="W80" s="6"/>
      <c r="X80" s="6"/>
      <c r="Y80" s="6"/>
      <c r="Z80" s="6"/>
    </row>
    <row r="81" ht="37.5" customHeight="1">
      <c r="A81" s="6"/>
      <c r="B81" s="332"/>
      <c r="C81" s="333" t="s">
        <v>516</v>
      </c>
      <c r="D81" s="257"/>
      <c r="E81" s="334"/>
      <c r="F81" s="335">
        <f>SUM(E82:E84)</f>
        <v>0</v>
      </c>
      <c r="G81" s="353"/>
      <c r="H81" s="6"/>
      <c r="I81" s="6"/>
      <c r="J81" s="6"/>
      <c r="K81" s="6"/>
      <c r="L81" s="6"/>
      <c r="M81" s="6"/>
      <c r="N81" s="6"/>
      <c r="O81" s="6"/>
      <c r="P81" s="6"/>
      <c r="Q81" s="6"/>
      <c r="R81" s="6"/>
      <c r="S81" s="6"/>
      <c r="T81" s="6"/>
      <c r="U81" s="6"/>
      <c r="V81" s="6"/>
      <c r="W81" s="6"/>
      <c r="X81" s="6"/>
      <c r="Y81" s="6"/>
      <c r="Z81" s="6"/>
    </row>
    <row r="82" ht="37.5" customHeight="1">
      <c r="A82" s="6"/>
      <c r="B82" s="353"/>
      <c r="C82" s="354" t="s">
        <v>366</v>
      </c>
      <c r="D82" s="334"/>
      <c r="E82" s="355">
        <v>0.0</v>
      </c>
      <c r="F82" s="330"/>
      <c r="G82" s="332"/>
      <c r="H82" s="6"/>
      <c r="I82" s="6"/>
      <c r="J82" s="6"/>
      <c r="K82" s="6"/>
      <c r="L82" s="6"/>
      <c r="M82" s="6"/>
      <c r="N82" s="6"/>
      <c r="O82" s="6"/>
      <c r="P82" s="6"/>
      <c r="Q82" s="6"/>
      <c r="R82" s="6"/>
      <c r="S82" s="6"/>
      <c r="T82" s="6"/>
      <c r="U82" s="6"/>
      <c r="V82" s="6"/>
      <c r="W82" s="6"/>
      <c r="X82" s="6"/>
      <c r="Y82" s="6"/>
      <c r="Z82" s="6"/>
    </row>
    <row r="83" ht="37.5" customHeight="1">
      <c r="A83" s="6"/>
      <c r="B83" s="353"/>
      <c r="C83" s="354" t="s">
        <v>367</v>
      </c>
      <c r="D83" s="334"/>
      <c r="E83" s="355">
        <v>0.0</v>
      </c>
      <c r="F83" s="330"/>
      <c r="G83" s="332"/>
      <c r="H83" s="6"/>
      <c r="I83" s="6"/>
      <c r="J83" s="6"/>
      <c r="K83" s="6"/>
      <c r="L83" s="6"/>
      <c r="M83" s="6"/>
      <c r="N83" s="6"/>
      <c r="O83" s="6"/>
      <c r="P83" s="6"/>
      <c r="Q83" s="6"/>
      <c r="R83" s="6"/>
      <c r="S83" s="6"/>
      <c r="T83" s="6"/>
      <c r="U83" s="6"/>
      <c r="V83" s="6"/>
      <c r="W83" s="6"/>
      <c r="X83" s="6"/>
      <c r="Y83" s="6"/>
      <c r="Z83" s="6"/>
    </row>
    <row r="84" ht="37.5" customHeight="1">
      <c r="A84" s="6"/>
      <c r="B84" s="353"/>
      <c r="C84" s="354" t="s">
        <v>502</v>
      </c>
      <c r="D84" s="334"/>
      <c r="E84" s="355">
        <f>SUM(E82:E83)*0.2</f>
        <v>0</v>
      </c>
      <c r="F84" s="330"/>
      <c r="G84" s="332"/>
      <c r="H84" s="6"/>
      <c r="I84" s="6"/>
      <c r="J84" s="6"/>
      <c r="K84" s="6"/>
      <c r="L84" s="6"/>
      <c r="M84" s="6"/>
      <c r="N84" s="6"/>
      <c r="O84" s="6"/>
      <c r="P84" s="6"/>
      <c r="Q84" s="6"/>
      <c r="R84" s="6"/>
      <c r="S84" s="6"/>
      <c r="T84" s="6"/>
      <c r="U84" s="6"/>
      <c r="V84" s="6"/>
      <c r="W84" s="6"/>
      <c r="X84" s="6"/>
      <c r="Y84" s="6"/>
      <c r="Z84" s="6"/>
    </row>
    <row r="85" ht="60.0" customHeight="1">
      <c r="A85" s="6"/>
      <c r="B85" s="353"/>
      <c r="C85" s="357" t="s">
        <v>517</v>
      </c>
      <c r="D85" s="289"/>
      <c r="E85" s="289"/>
      <c r="F85" s="257"/>
      <c r="G85" s="332"/>
      <c r="H85" s="6"/>
      <c r="I85" s="6"/>
      <c r="J85" s="6"/>
      <c r="K85" s="6"/>
      <c r="L85" s="6"/>
      <c r="M85" s="6"/>
      <c r="N85" s="6"/>
      <c r="O85" s="6"/>
      <c r="P85" s="6"/>
      <c r="Q85" s="6"/>
      <c r="R85" s="6"/>
      <c r="S85" s="6"/>
      <c r="T85" s="6"/>
      <c r="U85" s="6"/>
      <c r="V85" s="6"/>
      <c r="W85" s="6"/>
      <c r="X85" s="6"/>
      <c r="Y85" s="6"/>
      <c r="Z85" s="6"/>
    </row>
    <row r="86" ht="37.5" customHeight="1">
      <c r="A86" s="6"/>
      <c r="B86" s="362"/>
      <c r="C86" s="362"/>
      <c r="D86" s="362"/>
      <c r="E86" s="363"/>
      <c r="F86" s="6"/>
      <c r="G86" s="6"/>
      <c r="H86" s="6"/>
      <c r="I86" s="6"/>
      <c r="J86" s="6"/>
      <c r="K86" s="6"/>
      <c r="L86" s="6"/>
      <c r="M86" s="6"/>
      <c r="N86" s="6"/>
      <c r="O86" s="6"/>
      <c r="P86" s="6"/>
      <c r="Q86" s="6"/>
      <c r="R86" s="6"/>
      <c r="S86" s="6"/>
      <c r="T86" s="6"/>
      <c r="U86" s="6"/>
      <c r="V86" s="6"/>
      <c r="W86" s="6"/>
      <c r="X86" s="6"/>
      <c r="Y86" s="6"/>
      <c r="Z86" s="6"/>
    </row>
    <row r="87" ht="37.5" customHeight="1">
      <c r="A87" s="6"/>
      <c r="B87" s="358"/>
      <c r="C87" s="358"/>
      <c r="D87" s="358"/>
      <c r="E87" s="359"/>
      <c r="F87" s="343"/>
      <c r="G87" s="343"/>
      <c r="H87" s="6"/>
      <c r="I87" s="6"/>
      <c r="J87" s="6"/>
      <c r="K87" s="6"/>
      <c r="L87" s="6"/>
      <c r="M87" s="6"/>
      <c r="N87" s="6"/>
      <c r="O87" s="6"/>
      <c r="P87" s="6"/>
      <c r="Q87" s="6"/>
      <c r="R87" s="6"/>
      <c r="S87" s="6"/>
      <c r="T87" s="6"/>
      <c r="U87" s="6"/>
      <c r="V87" s="6"/>
      <c r="W87" s="6"/>
      <c r="X87" s="6"/>
      <c r="Y87" s="6"/>
      <c r="Z87" s="6"/>
    </row>
    <row r="88" ht="37.5" customHeight="1">
      <c r="A88" s="6"/>
      <c r="B88" s="358"/>
      <c r="C88" s="344" t="s">
        <v>518</v>
      </c>
      <c r="D88" s="257"/>
      <c r="E88" s="360"/>
      <c r="F88" s="346">
        <f>SUM(E89:E100)</f>
        <v>0</v>
      </c>
      <c r="G88" s="343"/>
      <c r="H88" s="6"/>
      <c r="I88" s="6"/>
      <c r="J88" s="6"/>
      <c r="K88" s="6"/>
      <c r="L88" s="6"/>
      <c r="M88" s="6"/>
      <c r="N88" s="6"/>
      <c r="O88" s="6"/>
      <c r="P88" s="6"/>
      <c r="Q88" s="6"/>
      <c r="R88" s="6"/>
      <c r="S88" s="6"/>
      <c r="T88" s="6"/>
      <c r="U88" s="6"/>
      <c r="V88" s="6"/>
      <c r="W88" s="6"/>
      <c r="X88" s="6"/>
      <c r="Y88" s="6"/>
      <c r="Z88" s="6"/>
    </row>
    <row r="89" ht="37.5" customHeight="1">
      <c r="A89" s="6"/>
      <c r="B89" s="358"/>
      <c r="C89" s="347" t="s">
        <v>519</v>
      </c>
      <c r="D89" s="345"/>
      <c r="E89" s="349">
        <v>0.0</v>
      </c>
      <c r="F89" s="341"/>
      <c r="G89" s="343"/>
      <c r="H89" s="6"/>
      <c r="I89" s="6"/>
      <c r="J89" s="6"/>
      <c r="K89" s="6"/>
      <c r="L89" s="6"/>
      <c r="M89" s="6"/>
      <c r="N89" s="6"/>
      <c r="O89" s="6"/>
      <c r="P89" s="6"/>
      <c r="Q89" s="6"/>
      <c r="R89" s="6"/>
      <c r="S89" s="6"/>
      <c r="T89" s="6"/>
      <c r="U89" s="6"/>
      <c r="V89" s="6"/>
      <c r="W89" s="6"/>
      <c r="X89" s="6"/>
      <c r="Y89" s="6"/>
      <c r="Z89" s="6"/>
    </row>
    <row r="90" ht="37.5" customHeight="1">
      <c r="A90" s="6"/>
      <c r="B90" s="358"/>
      <c r="C90" s="347" t="s">
        <v>520</v>
      </c>
      <c r="D90" s="345"/>
      <c r="E90" s="349">
        <v>0.0</v>
      </c>
      <c r="F90" s="341"/>
      <c r="G90" s="343"/>
      <c r="H90" s="6"/>
      <c r="I90" s="6"/>
      <c r="J90" s="6"/>
      <c r="K90" s="6"/>
      <c r="L90" s="6"/>
      <c r="M90" s="6"/>
      <c r="N90" s="6"/>
      <c r="O90" s="6"/>
      <c r="P90" s="6"/>
      <c r="Q90" s="6"/>
      <c r="R90" s="6"/>
      <c r="S90" s="6"/>
      <c r="T90" s="6"/>
      <c r="U90" s="6"/>
      <c r="V90" s="6"/>
      <c r="W90" s="6"/>
      <c r="X90" s="6"/>
      <c r="Y90" s="6"/>
      <c r="Z90" s="6"/>
    </row>
    <row r="91" ht="37.5" customHeight="1">
      <c r="A91" s="6"/>
      <c r="B91" s="358"/>
      <c r="C91" s="347" t="s">
        <v>521</v>
      </c>
      <c r="D91" s="345"/>
      <c r="E91" s="349">
        <v>0.0</v>
      </c>
      <c r="F91" s="341"/>
      <c r="G91" s="343"/>
      <c r="H91" s="6"/>
      <c r="I91" s="6"/>
      <c r="J91" s="6"/>
      <c r="K91" s="6"/>
      <c r="L91" s="6"/>
      <c r="M91" s="6"/>
      <c r="N91" s="6"/>
      <c r="O91" s="6"/>
      <c r="P91" s="6"/>
      <c r="Q91" s="6"/>
      <c r="R91" s="6"/>
      <c r="S91" s="6"/>
      <c r="T91" s="6"/>
      <c r="U91" s="6"/>
      <c r="V91" s="6"/>
      <c r="W91" s="6"/>
      <c r="X91" s="6"/>
      <c r="Y91" s="6"/>
      <c r="Z91" s="6"/>
    </row>
    <row r="92" ht="37.5" customHeight="1">
      <c r="A92" s="6"/>
      <c r="B92" s="358"/>
      <c r="C92" s="347" t="s">
        <v>522</v>
      </c>
      <c r="D92" s="345"/>
      <c r="E92" s="349">
        <v>0.0</v>
      </c>
      <c r="F92" s="341"/>
      <c r="G92" s="343"/>
      <c r="H92" s="6"/>
      <c r="I92" s="6"/>
      <c r="J92" s="6"/>
      <c r="K92" s="6"/>
      <c r="L92" s="6"/>
      <c r="M92" s="6"/>
      <c r="N92" s="6"/>
      <c r="O92" s="6"/>
      <c r="P92" s="6"/>
      <c r="Q92" s="6"/>
      <c r="R92" s="6"/>
      <c r="S92" s="6"/>
      <c r="T92" s="6"/>
      <c r="U92" s="6"/>
      <c r="V92" s="6"/>
      <c r="W92" s="6"/>
      <c r="X92" s="6"/>
      <c r="Y92" s="6"/>
      <c r="Z92" s="6"/>
    </row>
    <row r="93" ht="37.5" customHeight="1">
      <c r="A93" s="6"/>
      <c r="B93" s="358"/>
      <c r="C93" s="347" t="s">
        <v>523</v>
      </c>
      <c r="D93" s="345"/>
      <c r="E93" s="349">
        <v>0.0</v>
      </c>
      <c r="F93" s="341"/>
      <c r="G93" s="343"/>
      <c r="H93" s="6"/>
      <c r="I93" s="6"/>
      <c r="J93" s="6"/>
      <c r="K93" s="6"/>
      <c r="L93" s="6"/>
      <c r="M93" s="6"/>
      <c r="N93" s="6"/>
      <c r="O93" s="6"/>
      <c r="P93" s="6"/>
      <c r="Q93" s="6"/>
      <c r="R93" s="6"/>
      <c r="S93" s="6"/>
      <c r="T93" s="6"/>
      <c r="U93" s="6"/>
      <c r="V93" s="6"/>
      <c r="W93" s="6"/>
      <c r="X93" s="6"/>
      <c r="Y93" s="6"/>
      <c r="Z93" s="6"/>
    </row>
    <row r="94" ht="37.5" customHeight="1">
      <c r="A94" s="6"/>
      <c r="B94" s="358"/>
      <c r="C94" s="347" t="s">
        <v>524</v>
      </c>
      <c r="D94" s="345"/>
      <c r="E94" s="349">
        <v>0.0</v>
      </c>
      <c r="F94" s="341"/>
      <c r="G94" s="343"/>
      <c r="H94" s="6"/>
      <c r="I94" s="6"/>
      <c r="J94" s="6"/>
      <c r="K94" s="6"/>
      <c r="L94" s="6"/>
      <c r="M94" s="6"/>
      <c r="N94" s="6"/>
      <c r="O94" s="6"/>
      <c r="P94" s="6"/>
      <c r="Q94" s="6"/>
      <c r="R94" s="6"/>
      <c r="S94" s="6"/>
      <c r="T94" s="6"/>
      <c r="U94" s="6"/>
      <c r="V94" s="6"/>
      <c r="W94" s="6"/>
      <c r="X94" s="6"/>
      <c r="Y94" s="6"/>
      <c r="Z94" s="6"/>
    </row>
    <row r="95" ht="37.5" customHeight="1">
      <c r="A95" s="6"/>
      <c r="B95" s="358"/>
      <c r="C95" s="347" t="s">
        <v>525</v>
      </c>
      <c r="D95" s="345"/>
      <c r="E95" s="349">
        <v>0.0</v>
      </c>
      <c r="F95" s="341"/>
      <c r="G95" s="343"/>
      <c r="H95" s="6"/>
      <c r="I95" s="6"/>
      <c r="J95" s="6"/>
      <c r="K95" s="6"/>
      <c r="L95" s="6"/>
      <c r="M95" s="6"/>
      <c r="N95" s="6"/>
      <c r="O95" s="6"/>
      <c r="P95" s="6"/>
      <c r="Q95" s="6"/>
      <c r="R95" s="6"/>
      <c r="S95" s="6"/>
      <c r="T95" s="6"/>
      <c r="U95" s="6"/>
      <c r="V95" s="6"/>
      <c r="W95" s="6"/>
      <c r="X95" s="6"/>
      <c r="Y95" s="6"/>
      <c r="Z95" s="6"/>
    </row>
    <row r="96" ht="37.5" customHeight="1">
      <c r="A96" s="6"/>
      <c r="B96" s="358"/>
      <c r="C96" s="347" t="s">
        <v>526</v>
      </c>
      <c r="D96" s="345"/>
      <c r="E96" s="349">
        <v>0.0</v>
      </c>
      <c r="F96" s="341"/>
      <c r="G96" s="343"/>
      <c r="H96" s="6"/>
      <c r="I96" s="6"/>
      <c r="J96" s="6"/>
      <c r="K96" s="6"/>
      <c r="L96" s="6"/>
      <c r="M96" s="6"/>
      <c r="N96" s="6"/>
      <c r="O96" s="6"/>
      <c r="P96" s="6"/>
      <c r="Q96" s="6"/>
      <c r="R96" s="6"/>
      <c r="S96" s="6"/>
      <c r="T96" s="6"/>
      <c r="U96" s="6"/>
      <c r="V96" s="6"/>
      <c r="W96" s="6"/>
      <c r="X96" s="6"/>
      <c r="Y96" s="6"/>
      <c r="Z96" s="6"/>
    </row>
    <row r="97" ht="37.5" customHeight="1">
      <c r="A97" s="6"/>
      <c r="B97" s="358"/>
      <c r="C97" s="347" t="s">
        <v>527</v>
      </c>
      <c r="D97" s="345"/>
      <c r="E97" s="349">
        <v>0.0</v>
      </c>
      <c r="F97" s="341"/>
      <c r="G97" s="343"/>
      <c r="H97" s="6"/>
      <c r="I97" s="6"/>
      <c r="J97" s="6"/>
      <c r="K97" s="6"/>
      <c r="L97" s="6"/>
      <c r="M97" s="6"/>
      <c r="N97" s="6"/>
      <c r="O97" s="6"/>
      <c r="P97" s="6"/>
      <c r="Q97" s="6"/>
      <c r="R97" s="6"/>
      <c r="S97" s="6"/>
      <c r="T97" s="6"/>
      <c r="U97" s="6"/>
      <c r="V97" s="6"/>
      <c r="W97" s="6"/>
      <c r="X97" s="6"/>
      <c r="Y97" s="6"/>
      <c r="Z97" s="6"/>
    </row>
    <row r="98" ht="37.5" customHeight="1">
      <c r="A98" s="6"/>
      <c r="B98" s="358"/>
      <c r="C98" s="347" t="s">
        <v>528</v>
      </c>
      <c r="D98" s="345"/>
      <c r="E98" s="349">
        <v>0.0</v>
      </c>
      <c r="F98" s="341"/>
      <c r="G98" s="343"/>
      <c r="H98" s="6"/>
      <c r="I98" s="6"/>
      <c r="J98" s="6"/>
      <c r="K98" s="6"/>
      <c r="L98" s="6"/>
      <c r="M98" s="6"/>
      <c r="N98" s="6"/>
      <c r="O98" s="6"/>
      <c r="P98" s="6"/>
      <c r="Q98" s="6"/>
      <c r="R98" s="6"/>
      <c r="S98" s="6"/>
      <c r="T98" s="6"/>
      <c r="U98" s="6"/>
      <c r="V98" s="6"/>
      <c r="W98" s="6"/>
      <c r="X98" s="6"/>
      <c r="Y98" s="6"/>
      <c r="Z98" s="6"/>
    </row>
    <row r="99" ht="37.5" customHeight="1">
      <c r="A99" s="6"/>
      <c r="B99" s="358"/>
      <c r="C99" s="347" t="s">
        <v>529</v>
      </c>
      <c r="D99" s="345"/>
      <c r="E99" s="349">
        <v>0.0</v>
      </c>
      <c r="F99" s="341"/>
      <c r="G99" s="343"/>
      <c r="H99" s="6"/>
      <c r="I99" s="6"/>
      <c r="J99" s="6"/>
      <c r="K99" s="6"/>
      <c r="L99" s="6"/>
      <c r="M99" s="6"/>
      <c r="N99" s="6"/>
      <c r="O99" s="6"/>
      <c r="P99" s="6"/>
      <c r="Q99" s="6"/>
      <c r="R99" s="6"/>
      <c r="S99" s="6"/>
      <c r="T99" s="6"/>
      <c r="U99" s="6"/>
      <c r="V99" s="6"/>
      <c r="W99" s="6"/>
      <c r="X99" s="6"/>
      <c r="Y99" s="6"/>
      <c r="Z99" s="6"/>
    </row>
    <row r="100" ht="37.5" customHeight="1">
      <c r="A100" s="6"/>
      <c r="B100" s="358"/>
      <c r="C100" s="347" t="s">
        <v>502</v>
      </c>
      <c r="D100" s="345"/>
      <c r="E100" s="348">
        <f>SUM(E89:E99)*0.2</f>
        <v>0</v>
      </c>
      <c r="F100" s="341"/>
      <c r="G100" s="343"/>
      <c r="H100" s="6"/>
      <c r="I100" s="6"/>
      <c r="J100" s="6"/>
      <c r="K100" s="6"/>
      <c r="L100" s="6"/>
      <c r="M100" s="6"/>
      <c r="N100" s="6"/>
      <c r="O100" s="6"/>
      <c r="P100" s="6"/>
      <c r="Q100" s="6"/>
      <c r="R100" s="6"/>
      <c r="S100" s="6"/>
      <c r="T100" s="6"/>
      <c r="U100" s="6"/>
      <c r="V100" s="6"/>
      <c r="W100" s="6"/>
      <c r="X100" s="6"/>
      <c r="Y100" s="6"/>
      <c r="Z100" s="6"/>
    </row>
    <row r="101" ht="150.0" customHeight="1">
      <c r="A101" s="6"/>
      <c r="B101" s="358"/>
      <c r="C101" s="351" t="s">
        <v>530</v>
      </c>
      <c r="D101" s="289"/>
      <c r="E101" s="289"/>
      <c r="F101" s="257"/>
      <c r="G101" s="343"/>
      <c r="H101" s="6"/>
      <c r="I101" s="6"/>
      <c r="J101" s="6"/>
      <c r="K101" s="6"/>
      <c r="L101" s="6"/>
      <c r="M101" s="6"/>
      <c r="N101" s="6"/>
      <c r="O101" s="6"/>
      <c r="P101" s="6"/>
      <c r="Q101" s="6"/>
      <c r="R101" s="6"/>
      <c r="S101" s="6"/>
      <c r="T101" s="6"/>
      <c r="U101" s="6"/>
      <c r="V101" s="6"/>
      <c r="W101" s="6"/>
      <c r="X101" s="6"/>
      <c r="Y101" s="6"/>
      <c r="Z101" s="6"/>
    </row>
    <row r="102" ht="225.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3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37.5" customHeight="1">
      <c r="A104" s="6"/>
      <c r="B104" s="11"/>
      <c r="C104" s="364" t="s">
        <v>531</v>
      </c>
      <c r="D104" s="11"/>
      <c r="E104" s="11"/>
      <c r="F104" s="11"/>
      <c r="G104" s="6"/>
      <c r="H104" s="6"/>
      <c r="I104" s="6"/>
      <c r="J104" s="6"/>
      <c r="K104" s="6"/>
      <c r="L104" s="6"/>
      <c r="M104" s="6"/>
      <c r="N104" s="6"/>
      <c r="O104" s="6"/>
      <c r="P104" s="6"/>
      <c r="Q104" s="6"/>
      <c r="R104" s="6"/>
      <c r="S104" s="6"/>
      <c r="T104" s="6"/>
      <c r="U104" s="6"/>
      <c r="V104" s="6"/>
      <c r="W104" s="6"/>
      <c r="X104" s="6"/>
      <c r="Y104" s="6"/>
      <c r="Z104" s="6"/>
    </row>
    <row r="105" ht="37.5" customHeight="1">
      <c r="A105" s="6"/>
      <c r="B105" s="208" t="s">
        <v>532</v>
      </c>
      <c r="C105" s="209" t="s">
        <v>533</v>
      </c>
      <c r="G105" s="6"/>
      <c r="H105" s="6"/>
      <c r="I105" s="6"/>
      <c r="J105" s="6"/>
      <c r="K105" s="6"/>
      <c r="L105" s="6"/>
      <c r="M105" s="6"/>
      <c r="N105" s="6"/>
      <c r="O105" s="6"/>
      <c r="P105" s="6"/>
      <c r="Q105" s="6"/>
      <c r="R105" s="6"/>
      <c r="S105" s="6"/>
      <c r="T105" s="6"/>
      <c r="U105" s="6"/>
      <c r="V105" s="6"/>
      <c r="W105" s="6"/>
      <c r="X105" s="6"/>
      <c r="Y105" s="6"/>
      <c r="Z105" s="6"/>
    </row>
    <row r="106" ht="37.5" customHeight="1">
      <c r="A106" s="6"/>
      <c r="B106" s="208" t="s">
        <v>534</v>
      </c>
      <c r="C106" s="209" t="s">
        <v>379</v>
      </c>
      <c r="G106" s="6"/>
      <c r="H106" s="6"/>
      <c r="I106" s="6"/>
      <c r="J106" s="6"/>
      <c r="K106" s="6"/>
      <c r="L106" s="6"/>
      <c r="M106" s="6"/>
      <c r="N106" s="6"/>
      <c r="O106" s="6"/>
      <c r="P106" s="6"/>
      <c r="Q106" s="6"/>
      <c r="R106" s="6"/>
      <c r="S106" s="6"/>
      <c r="T106" s="6"/>
      <c r="U106" s="6"/>
      <c r="V106" s="6"/>
      <c r="W106" s="6"/>
      <c r="X106" s="6"/>
      <c r="Y106" s="6"/>
      <c r="Z106" s="6"/>
    </row>
    <row r="107" ht="37.5" customHeight="1">
      <c r="A107" s="6"/>
      <c r="B107" s="11"/>
      <c r="G107" s="6"/>
      <c r="H107" s="6"/>
      <c r="I107" s="6"/>
      <c r="J107" s="6"/>
      <c r="K107" s="6"/>
      <c r="L107" s="6"/>
      <c r="M107" s="6"/>
      <c r="N107" s="6"/>
      <c r="O107" s="6"/>
      <c r="P107" s="6"/>
      <c r="Q107" s="6"/>
      <c r="R107" s="6"/>
      <c r="S107" s="6"/>
      <c r="T107" s="6"/>
      <c r="U107" s="6"/>
      <c r="V107" s="6"/>
      <c r="W107" s="6"/>
      <c r="X107" s="6"/>
      <c r="Y107" s="6"/>
      <c r="Z107" s="6"/>
    </row>
    <row r="108" ht="37.5" customHeight="1">
      <c r="A108" s="6"/>
      <c r="B108" s="208" t="s">
        <v>535</v>
      </c>
      <c r="C108" s="209" t="s">
        <v>381</v>
      </c>
      <c r="G108" s="6"/>
      <c r="H108" s="6"/>
      <c r="I108" s="6"/>
      <c r="J108" s="6"/>
      <c r="K108" s="6"/>
      <c r="L108" s="6"/>
      <c r="M108" s="6"/>
      <c r="N108" s="6"/>
      <c r="O108" s="6"/>
      <c r="P108" s="6"/>
      <c r="Q108" s="6"/>
      <c r="R108" s="6"/>
      <c r="S108" s="6"/>
      <c r="T108" s="6"/>
      <c r="U108" s="6"/>
      <c r="V108" s="6"/>
      <c r="W108" s="6"/>
      <c r="X108" s="6"/>
      <c r="Y108" s="6"/>
      <c r="Z108" s="6"/>
    </row>
    <row r="109" ht="37.5" customHeight="1">
      <c r="A109" s="6"/>
      <c r="B109" s="208" t="s">
        <v>536</v>
      </c>
      <c r="C109" s="209" t="s">
        <v>383</v>
      </c>
      <c r="G109" s="6"/>
      <c r="H109" s="6"/>
      <c r="I109" s="6"/>
      <c r="J109" s="6"/>
      <c r="K109" s="6"/>
      <c r="L109" s="6"/>
      <c r="M109" s="6"/>
      <c r="N109" s="6"/>
      <c r="O109" s="6"/>
      <c r="P109" s="6"/>
      <c r="Q109" s="6"/>
      <c r="R109" s="6"/>
      <c r="S109" s="6"/>
      <c r="T109" s="6"/>
      <c r="U109" s="6"/>
      <c r="V109" s="6"/>
      <c r="W109" s="6"/>
      <c r="X109" s="6"/>
      <c r="Y109" s="6"/>
      <c r="Z109" s="6"/>
    </row>
    <row r="110" ht="37.5" customHeight="1">
      <c r="A110" s="6"/>
      <c r="B110" s="208"/>
      <c r="G110" s="6"/>
      <c r="H110" s="6"/>
      <c r="I110" s="6"/>
      <c r="J110" s="6"/>
      <c r="K110" s="6"/>
      <c r="L110" s="6"/>
      <c r="M110" s="6"/>
      <c r="N110" s="6"/>
      <c r="O110" s="6"/>
      <c r="P110" s="6"/>
      <c r="Q110" s="6"/>
      <c r="R110" s="6"/>
      <c r="S110" s="6"/>
      <c r="T110" s="6"/>
      <c r="U110" s="6"/>
      <c r="V110" s="6"/>
      <c r="W110" s="6"/>
      <c r="X110" s="6"/>
      <c r="Y110" s="6"/>
      <c r="Z110" s="6"/>
    </row>
    <row r="111" ht="37.5" customHeight="1">
      <c r="A111" s="6"/>
      <c r="B111" s="208" t="s">
        <v>537</v>
      </c>
      <c r="C111" s="209" t="s">
        <v>385</v>
      </c>
      <c r="G111" s="6"/>
      <c r="H111" s="6"/>
      <c r="I111" s="6"/>
      <c r="J111" s="6"/>
      <c r="K111" s="6"/>
      <c r="L111" s="6"/>
      <c r="M111" s="6"/>
      <c r="N111" s="6"/>
      <c r="O111" s="6"/>
      <c r="P111" s="6"/>
      <c r="Q111" s="6"/>
      <c r="R111" s="6"/>
      <c r="S111" s="6"/>
      <c r="T111" s="6"/>
      <c r="U111" s="6"/>
      <c r="V111" s="6"/>
      <c r="W111" s="6"/>
      <c r="X111" s="6"/>
      <c r="Y111" s="6"/>
      <c r="Z111" s="6"/>
    </row>
    <row r="112" ht="37.5" customHeight="1">
      <c r="A112" s="6"/>
      <c r="B112" s="208" t="s">
        <v>538</v>
      </c>
      <c r="C112" s="209" t="s">
        <v>387</v>
      </c>
      <c r="G112" s="6"/>
      <c r="H112" s="6"/>
      <c r="I112" s="6"/>
      <c r="J112" s="6"/>
      <c r="K112" s="6"/>
      <c r="L112" s="6"/>
      <c r="M112" s="6"/>
      <c r="N112" s="6"/>
      <c r="O112" s="6"/>
      <c r="P112" s="6"/>
      <c r="Q112" s="6"/>
      <c r="R112" s="6"/>
      <c r="S112" s="6"/>
      <c r="T112" s="6"/>
      <c r="U112" s="6"/>
      <c r="V112" s="6"/>
      <c r="W112" s="6"/>
      <c r="X112" s="6"/>
      <c r="Y112" s="6"/>
      <c r="Z112" s="6"/>
    </row>
    <row r="113" ht="37.5" customHeight="1">
      <c r="A113" s="6"/>
      <c r="B113" s="208" t="s">
        <v>539</v>
      </c>
      <c r="C113" s="209" t="s">
        <v>389</v>
      </c>
      <c r="G113" s="6"/>
      <c r="H113" s="6"/>
      <c r="I113" s="6"/>
      <c r="J113" s="6"/>
      <c r="K113" s="6"/>
      <c r="L113" s="6"/>
      <c r="M113" s="6"/>
      <c r="N113" s="6"/>
      <c r="O113" s="6"/>
      <c r="P113" s="6"/>
      <c r="Q113" s="6"/>
      <c r="R113" s="6"/>
      <c r="S113" s="6"/>
      <c r="T113" s="6"/>
      <c r="U113" s="6"/>
      <c r="V113" s="6"/>
      <c r="W113" s="6"/>
      <c r="X113" s="6"/>
      <c r="Y113" s="6"/>
      <c r="Z113" s="6"/>
    </row>
    <row r="114" ht="37.5" customHeight="1">
      <c r="A114" s="6"/>
      <c r="B114" s="208" t="s">
        <v>540</v>
      </c>
      <c r="C114" s="209" t="s">
        <v>391</v>
      </c>
      <c r="G114" s="6"/>
      <c r="H114" s="6"/>
      <c r="I114" s="6"/>
      <c r="J114" s="6"/>
      <c r="K114" s="6"/>
      <c r="L114" s="6"/>
      <c r="M114" s="6"/>
      <c r="N114" s="6"/>
      <c r="O114" s="6"/>
      <c r="P114" s="6"/>
      <c r="Q114" s="6"/>
      <c r="R114" s="6"/>
      <c r="S114" s="6"/>
      <c r="T114" s="6"/>
      <c r="U114" s="6"/>
      <c r="V114" s="6"/>
      <c r="W114" s="6"/>
      <c r="X114" s="6"/>
      <c r="Y114" s="6"/>
      <c r="Z114" s="6"/>
    </row>
    <row r="115" ht="75.0" customHeight="1">
      <c r="A115" s="6"/>
      <c r="B115" s="11"/>
      <c r="C115" s="11"/>
      <c r="D115" s="11"/>
      <c r="E115" s="11"/>
      <c r="F115" s="11"/>
      <c r="G115" s="6"/>
      <c r="H115" s="6"/>
      <c r="I115" s="6"/>
      <c r="J115" s="6"/>
      <c r="K115" s="6"/>
      <c r="L115" s="6"/>
      <c r="M115" s="6"/>
      <c r="N115" s="6"/>
      <c r="O115" s="6"/>
      <c r="P115" s="6"/>
      <c r="Q115" s="6"/>
      <c r="R115" s="6"/>
      <c r="S115" s="6"/>
      <c r="T115" s="6"/>
      <c r="U115" s="6"/>
      <c r="V115" s="6"/>
      <c r="W115" s="6"/>
      <c r="X115" s="6"/>
      <c r="Y115" s="6"/>
      <c r="Z115" s="6"/>
    </row>
    <row r="116" ht="75.0" customHeight="1">
      <c r="A116" s="6"/>
      <c r="B116" s="11"/>
      <c r="C116" s="11"/>
      <c r="D116" s="11"/>
      <c r="E116" s="11"/>
      <c r="F116" s="11"/>
      <c r="G116" s="6"/>
      <c r="H116" s="6"/>
      <c r="I116" s="6"/>
      <c r="J116" s="6"/>
      <c r="K116" s="6"/>
      <c r="L116" s="6"/>
      <c r="M116" s="6"/>
      <c r="N116" s="6"/>
      <c r="O116" s="6"/>
      <c r="P116" s="6"/>
      <c r="Q116" s="6"/>
      <c r="R116" s="6"/>
      <c r="S116" s="6"/>
      <c r="T116" s="6"/>
      <c r="U116" s="6"/>
      <c r="V116" s="6"/>
      <c r="W116" s="6"/>
      <c r="X116" s="6"/>
      <c r="Y116" s="6"/>
      <c r="Z116" s="6"/>
    </row>
    <row r="117" ht="37.5" customHeight="1">
      <c r="A117" s="6"/>
      <c r="B117" s="11"/>
      <c r="C117" s="252" t="s">
        <v>398</v>
      </c>
      <c r="D117" s="11"/>
      <c r="E117" s="11"/>
      <c r="F117" s="11"/>
      <c r="G117" s="6"/>
      <c r="H117" s="6"/>
      <c r="I117" s="6"/>
      <c r="J117" s="6"/>
      <c r="K117" s="6"/>
      <c r="L117" s="6"/>
      <c r="M117" s="6"/>
      <c r="N117" s="6"/>
      <c r="O117" s="6"/>
      <c r="P117" s="6"/>
      <c r="Q117" s="6"/>
      <c r="R117" s="6"/>
      <c r="S117" s="6"/>
      <c r="T117" s="6"/>
      <c r="U117" s="6"/>
      <c r="V117" s="6"/>
      <c r="W117" s="6"/>
      <c r="X117" s="6"/>
      <c r="Y117" s="6"/>
      <c r="Z117" s="6"/>
    </row>
    <row r="118" ht="3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37.5" customHeight="1">
      <c r="A119" s="6"/>
      <c r="B119" s="6"/>
      <c r="C119" s="309"/>
      <c r="D119" s="309"/>
      <c r="E119" s="309"/>
      <c r="F119" s="6"/>
      <c r="G119" s="6"/>
      <c r="H119" s="6"/>
      <c r="I119" s="6"/>
      <c r="J119" s="6"/>
      <c r="K119" s="6"/>
      <c r="L119" s="6"/>
      <c r="M119" s="6"/>
      <c r="N119" s="6"/>
      <c r="O119" s="6"/>
      <c r="P119" s="6"/>
      <c r="Q119" s="6"/>
      <c r="R119" s="6"/>
      <c r="S119" s="6"/>
      <c r="T119" s="6"/>
      <c r="U119" s="6"/>
      <c r="V119" s="6"/>
      <c r="W119" s="6"/>
      <c r="X119" s="6"/>
      <c r="Y119" s="6"/>
      <c r="Z119" s="6"/>
    </row>
    <row r="120" ht="3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row>
    <row r="121" ht="3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37.5" customHeight="1">
      <c r="A122" s="6"/>
      <c r="B122" s="6"/>
      <c r="H122" s="6"/>
      <c r="I122" s="6"/>
      <c r="J122" s="6"/>
      <c r="K122" s="6"/>
      <c r="L122" s="6"/>
      <c r="M122" s="6"/>
      <c r="N122" s="6"/>
      <c r="O122" s="6"/>
      <c r="P122" s="6"/>
      <c r="Q122" s="6"/>
      <c r="R122" s="6"/>
      <c r="S122" s="6"/>
      <c r="T122" s="6"/>
      <c r="U122" s="6"/>
      <c r="V122" s="6"/>
      <c r="W122" s="6"/>
      <c r="X122" s="6"/>
      <c r="Y122" s="6"/>
      <c r="Z122" s="6"/>
    </row>
    <row r="123" ht="3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3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3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3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3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3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2:E2"/>
    <mergeCell ref="D14:F14"/>
    <mergeCell ref="C17:F17"/>
    <mergeCell ref="C27:F27"/>
    <mergeCell ref="B29:G29"/>
    <mergeCell ref="B31:D31"/>
    <mergeCell ref="C33:D33"/>
    <mergeCell ref="C41:D41"/>
    <mergeCell ref="C50:F50"/>
    <mergeCell ref="B52:D52"/>
    <mergeCell ref="C54:D54"/>
    <mergeCell ref="C59:F59"/>
    <mergeCell ref="C61:D61"/>
    <mergeCell ref="C66:F66"/>
    <mergeCell ref="C68:D68"/>
    <mergeCell ref="C73:F73"/>
    <mergeCell ref="C75:D75"/>
    <mergeCell ref="C79:F79"/>
    <mergeCell ref="C81:D81"/>
    <mergeCell ref="C85:F85"/>
    <mergeCell ref="C88:D88"/>
    <mergeCell ref="C113:F113"/>
    <mergeCell ref="C114:F114"/>
    <mergeCell ref="C120:E120"/>
    <mergeCell ref="B122:G122"/>
    <mergeCell ref="C101:F101"/>
    <mergeCell ref="C105:F105"/>
    <mergeCell ref="C106:F107"/>
    <mergeCell ref="C108:F108"/>
    <mergeCell ref="C109:F110"/>
    <mergeCell ref="C111:F111"/>
    <mergeCell ref="C112:F112"/>
  </mergeCells>
  <dataValidations>
    <dataValidation type="list" allowBlank="1" sqref="D11">
      <formula1>"Enter Type,M1,M2,L1,L2,L3,mX,mXL"</formula1>
    </dataValidation>
    <dataValidation type="list" allowBlank="1" sqref="C14">
      <formula1>"Paint by Numbers,Quest,Making a Movie,Lost in the Fog"</formula1>
    </dataValidation>
    <dataValidation type="list" allowBlank="1" sqref="C17">
      <formula1>DATA!$D$41:$D$42</formula1>
    </dataValidation>
    <dataValidation type="list" allowBlank="1" sqref="D9">
      <formula1>"Enter Version,1,2,3,4,5,6,7,8,9,10,11,12,13,14,15"</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2026-01-16T18:58:51Z</dcterms:created>
  <dc:creator>Jorge Rosa</dc:creator>
</cp:coreProperties>
</file>